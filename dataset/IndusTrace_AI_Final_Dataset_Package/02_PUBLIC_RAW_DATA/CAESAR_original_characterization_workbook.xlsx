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X:\PROYECTOS EN CURSO\MA_Medio_Ambiente\MA-CAESAR\05-Proyecto Tareas\WP7-IPR-Comm.Diss.Expl\DMP\datasets\"/>
    </mc:Choice>
  </mc:AlternateContent>
  <xr:revisionPtr revIDLastSave="0" documentId="13_ncr:1_{E8B8F7DE-916E-4D5F-8225-B2538E46DBE0}" xr6:coauthVersionLast="47" xr6:coauthVersionMax="47" xr10:uidLastSave="{00000000-0000-0000-0000-000000000000}"/>
  <bookViews>
    <workbookView xWindow="-120" yWindow="-120" windowWidth="29040" windowHeight="15720" xr2:uid="{28381B05-4B38-4574-9F67-24EC818557DD}"/>
  </bookViews>
  <sheets>
    <sheet name="Experimental Methods info" sheetId="9" r:id="rId1"/>
    <sheet name="FE Scrap - Material composition" sheetId="1" r:id="rId2"/>
    <sheet name="E1" sheetId="4" r:id="rId3"/>
    <sheet name="E40-1A" sheetId="5" r:id="rId4"/>
    <sheet name="E40-1Y" sheetId="6" r:id="rId5"/>
    <sheet name="WEEE" sheetId="7" r:id="rId6"/>
    <sheet name="Tapped metal - chem. analysis" sheetId="3" r:id="rId7"/>
    <sheet name="recov. NF metals -chem.analysis"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8" l="1"/>
  <c r="G22" i="8" l="1"/>
  <c r="H22" i="8"/>
  <c r="O22" i="8"/>
  <c r="P22" i="8"/>
  <c r="F22" i="8"/>
</calcChain>
</file>

<file path=xl/sharedStrings.xml><?xml version="1.0" encoding="utf-8"?>
<sst xmlns="http://schemas.openxmlformats.org/spreadsheetml/2006/main" count="298" uniqueCount="126">
  <si>
    <t>bal.</t>
  </si>
  <si>
    <t>&lt;0.007</t>
  </si>
  <si>
    <t>&lt;0.001</t>
  </si>
  <si>
    <t>&lt;0.030</t>
  </si>
  <si>
    <t>N.T.</t>
  </si>
  <si>
    <t>c-E40 M1</t>
  </si>
  <si>
    <t>cleaned</t>
  </si>
  <si>
    <t>E40</t>
  </si>
  <si>
    <t>0.033-0.019</t>
  </si>
  <si>
    <t>&lt;0.029</t>
  </si>
  <si>
    <t>E40-1Y</t>
  </si>
  <si>
    <t>raw</t>
  </si>
  <si>
    <t>0.009-0.005</t>
  </si>
  <si>
    <t>&lt;0.008</t>
  </si>
  <si>
    <t>&lt;0.034</t>
  </si>
  <si>
    <t>0.050-0.033</t>
  </si>
  <si>
    <t>0.075-0.059</t>
  </si>
  <si>
    <t>0.018-0.009</t>
  </si>
  <si>
    <t>c-WEEE-1 M2&gt;30</t>
  </si>
  <si>
    <t>WEEE (motors)</t>
  </si>
  <si>
    <t>&lt;0.032</t>
  </si>
  <si>
    <t>c-WEEE-1 M2&lt;30</t>
  </si>
  <si>
    <t>0.066-0.071</t>
  </si>
  <si>
    <t>0.004-0.008</t>
  </si>
  <si>
    <t>0.034-0.030</t>
  </si>
  <si>
    <t>&lt;0.033</t>
  </si>
  <si>
    <t>0.017-0.009</t>
  </si>
  <si>
    <t>p-WEEE-1 M1</t>
  </si>
  <si>
    <t>primarily treated</t>
  </si>
  <si>
    <t>&lt;0,008</t>
  </si>
  <si>
    <t>&lt;0.005</t>
  </si>
  <si>
    <t>&lt;0.024</t>
  </si>
  <si>
    <t>&lt;0.006</t>
  </si>
  <si>
    <t>&lt;0.072</t>
  </si>
  <si>
    <t>&lt;0.058</t>
  </si>
  <si>
    <t>cE40 RS-LS</t>
  </si>
  <si>
    <t>&lt;0.009</t>
  </si>
  <si>
    <t>&lt;0.026</t>
  </si>
  <si>
    <t>&lt;0.079</t>
  </si>
  <si>
    <t>&lt;0.018</t>
  </si>
  <si>
    <t>cE40 RS-HS</t>
  </si>
  <si>
    <t>0.012-0.022</t>
  </si>
  <si>
    <t>&lt;0.031</t>
  </si>
  <si>
    <t>&lt;0.002</t>
  </si>
  <si>
    <t>&lt;0.010</t>
  </si>
  <si>
    <t>p-E1</t>
  </si>
  <si>
    <t>E1</t>
  </si>
  <si>
    <t>&lt;0.015</t>
  </si>
  <si>
    <t>0.012-0.016</t>
  </si>
  <si>
    <t>p-E3</t>
  </si>
  <si>
    <t>E3</t>
  </si>
  <si>
    <t>Sample representativeness of melted scrap</t>
  </si>
  <si>
    <t>%Fe</t>
  </si>
  <si>
    <t>%Zn</t>
  </si>
  <si>
    <t>%As</t>
  </si>
  <si>
    <t>%Co</t>
  </si>
  <si>
    <t>%B</t>
  </si>
  <si>
    <t>%Mg</t>
  </si>
  <si>
    <t>%Sn</t>
  </si>
  <si>
    <t>%Pb</t>
  </si>
  <si>
    <t>%V</t>
  </si>
  <si>
    <t>%Nb</t>
  </si>
  <si>
    <t>%Ti</t>
  </si>
  <si>
    <t>%Al</t>
  </si>
  <si>
    <t>%Cu</t>
  </si>
  <si>
    <t>%Ni</t>
  </si>
  <si>
    <t>%Mo</t>
  </si>
  <si>
    <t>%Cr</t>
  </si>
  <si>
    <t>%S</t>
  </si>
  <si>
    <t>%P</t>
  </si>
  <si>
    <t>%Mn</t>
  </si>
  <si>
    <t>%Si</t>
  </si>
  <si>
    <t>%C</t>
  </si>
  <si>
    <t>sample ID</t>
  </si>
  <si>
    <t>sampled scrap status</t>
  </si>
  <si>
    <t>scrap grade</t>
  </si>
  <si>
    <t xml:space="preserve"> Metal Yield</t>
  </si>
  <si>
    <t>Melting test</t>
  </si>
  <si>
    <t>N.A.</t>
  </si>
  <si>
    <t>E40-1A</t>
  </si>
  <si>
    <t>WEEE</t>
  </si>
  <si>
    <t>NOTES</t>
  </si>
  <si>
    <t>N.T. = not tested</t>
  </si>
  <si>
    <t>bal. = balance</t>
  </si>
  <si>
    <t>(prior to melting characterisation tests at AZTERLAN)</t>
  </si>
  <si>
    <t xml:space="preserve">Graphical results of WP3 scrap samples handsorting </t>
  </si>
  <si>
    <t>current book's sheet</t>
  </si>
  <si>
    <t xml:space="preserve">Recordsheet template for recording the mass of the fractions sorted during the handsorting of WP3 scrap samples </t>
  </si>
  <si>
    <t xml:space="preserve">chemical composition of the metal obtained by melting hand-sorted material fractions of the WP3 scrap samples in a pilot induction furnace </t>
  </si>
  <si>
    <t>Si</t>
  </si>
  <si>
    <t>Fe</t>
  </si>
  <si>
    <t>Cu</t>
  </si>
  <si>
    <t>Mn</t>
  </si>
  <si>
    <t>Mg</t>
  </si>
  <si>
    <t>Cr</t>
  </si>
  <si>
    <t>&lt;0,030</t>
  </si>
  <si>
    <t>Ni</t>
  </si>
  <si>
    <t>Zn</t>
  </si>
  <si>
    <t>Ti</t>
  </si>
  <si>
    <t>Sn</t>
  </si>
  <si>
    <t>Sr</t>
  </si>
  <si>
    <t>ND</t>
  </si>
  <si>
    <t>Pb</t>
  </si>
  <si>
    <t>Al</t>
  </si>
  <si>
    <t>P</t>
  </si>
  <si>
    <t>As</t>
  </si>
  <si>
    <t>Cd</t>
  </si>
  <si>
    <t>Bi</t>
  </si>
  <si>
    <t>S</t>
  </si>
  <si>
    <t>Chemical composition of liquid metal tapped</t>
  </si>
  <si>
    <t>Sample representativeness  (wt%) by melted scrap</t>
  </si>
  <si>
    <t>wt% sample removed from furnace charge melted</t>
  </si>
  <si>
    <t>melting sample representativeness</t>
  </si>
  <si>
    <t>&lt;0.051</t>
  </si>
  <si>
    <t>base metal: aluminium</t>
  </si>
  <si>
    <t>base metal: copper</t>
  </si>
  <si>
    <t>Cu-L-WEEE</t>
  </si>
  <si>
    <t>Cu-S-WEEE</t>
  </si>
  <si>
    <t>&lt;0.0050</t>
  </si>
  <si>
    <t>&lt;0.0010</t>
  </si>
  <si>
    <t>wt%</t>
  </si>
  <si>
    <t>Al W-E3</t>
  </si>
  <si>
    <t>Al C-E3</t>
  </si>
  <si>
    <t>Al-L-WEEE</t>
  </si>
  <si>
    <t>Al-S-WEEE</t>
  </si>
  <si>
    <t>Non-ferrous metallic fractions for valorisation tests (lab scale) characterised by AZTERLAN after melting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</si>
</sst>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Display"/>
      <family val="2"/>
      <scheme val="major"/>
    </font>
    <font>
      <sz val="11"/>
      <color theme="1"/>
      <name val="Aptos Display"/>
      <family val="2"/>
      <scheme val="major"/>
    </font>
    <font>
      <b/>
      <sz val="10"/>
      <color theme="0"/>
      <name val="Aptos Display"/>
      <family val="2"/>
      <scheme val="major"/>
    </font>
    <font>
      <b/>
      <sz val="11"/>
      <color theme="0"/>
      <name val="Aptos Display"/>
      <family val="2"/>
      <scheme val="major"/>
    </font>
    <font>
      <b/>
      <sz val="11"/>
      <color theme="1"/>
      <name val="Aptos Display"/>
      <family val="2"/>
      <scheme val="major"/>
    </font>
    <font>
      <b/>
      <sz val="11"/>
      <color theme="4"/>
      <name val="Aptos Display"/>
      <family val="2"/>
      <scheme val="major"/>
    </font>
    <font>
      <b/>
      <sz val="11"/>
      <color rgb="FFC00000"/>
      <name val="Aptos Display"/>
      <family val="2"/>
      <scheme val="major"/>
    </font>
    <font>
      <u/>
      <sz val="11"/>
      <color theme="10"/>
      <name val="Aptos Narrow"/>
      <family val="2"/>
      <scheme val="minor"/>
    </font>
    <font>
      <sz val="10"/>
      <color theme="1"/>
      <name val="Aptos Narrow"/>
      <family val="2"/>
      <scheme val="minor"/>
    </font>
    <font>
      <sz val="10"/>
      <color theme="1"/>
      <name val="Aptos Display"/>
      <family val="2"/>
      <scheme val="major"/>
    </font>
    <font>
      <b/>
      <sz val="11"/>
      <color theme="4"/>
      <name val="Aptos Narrow"/>
      <family val="2"/>
      <scheme val="minor"/>
    </font>
    <font>
      <b/>
      <sz val="11"/>
      <color theme="5" tint="-0.249977111117893"/>
      <name val="Aptos Narrow"/>
      <family val="2"/>
      <scheme val="minor"/>
    </font>
    <font>
      <b/>
      <i/>
      <sz val="11"/>
      <color theme="5" tint="-0.249977111117893"/>
      <name val="Aptos Narrow"/>
      <family val="2"/>
      <scheme val="minor"/>
    </font>
    <font>
      <b/>
      <i/>
      <sz val="11"/>
      <color theme="1" tint="0.499984740745262"/>
      <name val="Aptos Narrow"/>
      <family val="2"/>
      <scheme val="minor"/>
    </font>
    <font>
      <b/>
      <sz val="12"/>
      <color theme="4"/>
      <name val="Aptos Narrow"/>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2"/>
        <bgColor indexed="64"/>
      </patternFill>
    </fill>
  </fills>
  <borders count="55">
    <border>
      <left/>
      <right/>
      <top/>
      <bottom/>
      <diagonal/>
    </border>
    <border>
      <left style="double">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double">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bottom style="thin">
        <color indexed="64"/>
      </bottom>
      <diagonal/>
    </border>
    <border>
      <left style="double">
        <color indexed="64"/>
      </left>
      <right/>
      <top/>
      <bottom style="medium">
        <color indexed="64"/>
      </bottom>
      <diagonal/>
    </border>
    <border>
      <left style="medium">
        <color indexed="64"/>
      </left>
      <right/>
      <top/>
      <bottom style="medium">
        <color indexed="64"/>
      </bottom>
      <diagonal/>
    </border>
    <border>
      <left style="thin">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double">
        <color indexed="64"/>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thin">
        <color indexed="64"/>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9" fontId="1" fillId="0" borderId="0" applyFont="0" applyFill="0" applyBorder="0" applyAlignment="0" applyProtection="0"/>
    <xf numFmtId="0" fontId="10" fillId="0" borderId="0" applyNumberFormat="0" applyFill="0" applyBorder="0" applyAlignment="0" applyProtection="0"/>
  </cellStyleXfs>
  <cellXfs count="116">
    <xf numFmtId="0" fontId="0" fillId="0" borderId="0" xfId="0"/>
    <xf numFmtId="10" fontId="0" fillId="0" borderId="0" xfId="1" applyNumberFormat="1" applyFont="1"/>
    <xf numFmtId="10" fontId="3" fillId="2" borderId="1" xfId="1" applyNumberFormat="1" applyFont="1" applyFill="1" applyBorder="1" applyAlignment="1">
      <alignment horizontal="center"/>
    </xf>
    <xf numFmtId="10" fontId="3" fillId="2" borderId="2" xfId="1" applyNumberFormat="1" applyFont="1" applyFill="1" applyBorder="1" applyAlignment="1">
      <alignment horizont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164" fontId="4" fillId="0" borderId="4" xfId="0" applyNumberFormat="1" applyFont="1" applyBorder="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horizontal="center"/>
    </xf>
    <xf numFmtId="0" fontId="4" fillId="0" borderId="5" xfId="0" applyFont="1" applyBorder="1"/>
    <xf numFmtId="0" fontId="4" fillId="0" borderId="2" xfId="0" applyFont="1" applyBorder="1"/>
    <xf numFmtId="10" fontId="3" fillId="2" borderId="6" xfId="1" applyNumberFormat="1" applyFont="1" applyFill="1" applyBorder="1" applyAlignment="1">
      <alignment horizontal="center"/>
    </xf>
    <xf numFmtId="10" fontId="3" fillId="2" borderId="7" xfId="1" applyNumberFormat="1" applyFont="1" applyFill="1" applyBorder="1" applyAlignment="1">
      <alignment horizontal="center"/>
    </xf>
    <xf numFmtId="0" fontId="4" fillId="0" borderId="8" xfId="0" applyFont="1" applyBorder="1" applyAlignment="1">
      <alignment horizontal="center" vertical="center"/>
    </xf>
    <xf numFmtId="164" fontId="4" fillId="0" borderId="9" xfId="0" applyNumberFormat="1"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8" xfId="0" applyFont="1" applyBorder="1" applyAlignment="1">
      <alignment horizontal="center"/>
    </xf>
    <xf numFmtId="0" fontId="4" fillId="0" borderId="10" xfId="0" applyFont="1" applyBorder="1"/>
    <xf numFmtId="0" fontId="4" fillId="0" borderId="7" xfId="0" applyFont="1" applyBorder="1"/>
    <xf numFmtId="164" fontId="4" fillId="0" borderId="10" xfId="0" applyNumberFormat="1" applyFont="1" applyBorder="1" applyAlignment="1">
      <alignment horizontal="center" vertical="center"/>
    </xf>
    <xf numFmtId="9" fontId="3" fillId="2" borderId="11" xfId="0" applyNumberFormat="1" applyFont="1" applyFill="1" applyBorder="1" applyAlignment="1">
      <alignment horizontal="center"/>
    </xf>
    <xf numFmtId="10" fontId="3" fillId="2" borderId="12" xfId="1" applyNumberFormat="1" applyFont="1" applyFill="1" applyBorder="1" applyAlignment="1">
      <alignment horizont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164" fontId="4" fillId="0" borderId="15" xfId="0" applyNumberFormat="1" applyFont="1" applyBorder="1" applyAlignment="1">
      <alignment horizontal="center" vertical="center"/>
    </xf>
    <xf numFmtId="0" fontId="4" fillId="0" borderId="15" xfId="0" applyFont="1" applyBorder="1" applyAlignment="1">
      <alignment horizontal="center" vertical="center"/>
    </xf>
    <xf numFmtId="164" fontId="4" fillId="0" borderId="16" xfId="0" applyNumberFormat="1" applyFont="1" applyBorder="1" applyAlignment="1">
      <alignment horizontal="center" vertical="center"/>
    </xf>
    <xf numFmtId="0" fontId="4" fillId="0" borderId="13" xfId="0" applyFont="1" applyBorder="1" applyAlignment="1">
      <alignment horizontal="center"/>
    </xf>
    <xf numFmtId="0" fontId="4" fillId="0" borderId="16" xfId="0" applyFont="1" applyBorder="1"/>
    <xf numFmtId="0" fontId="4" fillId="0" borderId="17" xfId="0" applyFont="1" applyBorder="1"/>
    <xf numFmtId="0" fontId="0" fillId="0" borderId="0" xfId="0" applyAlignment="1">
      <alignment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vertical="center"/>
    </xf>
    <xf numFmtId="0" fontId="7" fillId="0" borderId="26" xfId="0" applyFont="1" applyBorder="1" applyAlignment="1">
      <alignment vertical="center"/>
    </xf>
    <xf numFmtId="0" fontId="4" fillId="0" borderId="0" xfId="0" applyFont="1" applyAlignment="1">
      <alignment vertical="center"/>
    </xf>
    <xf numFmtId="0" fontId="4" fillId="0" borderId="0" xfId="0" applyFont="1"/>
    <xf numFmtId="0" fontId="0" fillId="0" borderId="0" xfId="0" applyAlignment="1">
      <alignment horizontal="center" vertical="center"/>
    </xf>
    <xf numFmtId="0" fontId="11" fillId="0" borderId="0" xfId="0" applyFont="1" applyAlignment="1">
      <alignment horizontal="right"/>
    </xf>
    <xf numFmtId="0" fontId="11" fillId="0" borderId="0" xfId="0" applyFont="1"/>
    <xf numFmtId="0" fontId="12" fillId="0" borderId="32" xfId="0" applyFont="1" applyBorder="1" applyAlignment="1">
      <alignment horizontal="left"/>
    </xf>
    <xf numFmtId="0" fontId="0" fillId="0" borderId="32" xfId="0" applyBorder="1"/>
    <xf numFmtId="0" fontId="4" fillId="0" borderId="34" xfId="0" applyFont="1" applyBorder="1" applyAlignment="1">
      <alignment horizontal="center"/>
    </xf>
    <xf numFmtId="0" fontId="4" fillId="0" borderId="35" xfId="0" applyFont="1" applyBorder="1" applyAlignment="1">
      <alignment horizontal="center"/>
    </xf>
    <xf numFmtId="0" fontId="4" fillId="0" borderId="36" xfId="0" applyFont="1" applyBorder="1" applyAlignment="1">
      <alignment horizontal="center"/>
    </xf>
    <xf numFmtId="0" fontId="7" fillId="0" borderId="37" xfId="0" applyFont="1" applyBorder="1" applyAlignment="1">
      <alignment vertical="center"/>
    </xf>
    <xf numFmtId="0" fontId="7" fillId="0" borderId="38" xfId="0" applyFont="1" applyBorder="1" applyAlignment="1">
      <alignment horizontal="center" vertical="center"/>
    </xf>
    <xf numFmtId="0" fontId="2" fillId="0" borderId="39" xfId="0" applyFont="1" applyBorder="1" applyAlignment="1">
      <alignment horizontal="center"/>
    </xf>
    <xf numFmtId="0" fontId="4" fillId="0" borderId="12" xfId="0" applyFont="1" applyBorder="1"/>
    <xf numFmtId="0" fontId="0" fillId="0" borderId="13" xfId="0" applyBorder="1" applyAlignment="1">
      <alignment horizontal="center" vertical="center"/>
    </xf>
    <xf numFmtId="0" fontId="10" fillId="0" borderId="8" xfId="2" applyBorder="1" applyAlignment="1">
      <alignment horizontal="center" vertical="center"/>
    </xf>
    <xf numFmtId="0" fontId="10" fillId="0" borderId="3" xfId="2" applyBorder="1" applyAlignment="1">
      <alignment horizontal="center" vertical="center"/>
    </xf>
    <xf numFmtId="0" fontId="13" fillId="0" borderId="0" xfId="0" applyFont="1"/>
    <xf numFmtId="10" fontId="0" fillId="0" borderId="0" xfId="0" applyNumberFormat="1"/>
    <xf numFmtId="165" fontId="1" fillId="0" borderId="0" xfId="1" applyNumberFormat="1" applyFont="1"/>
    <xf numFmtId="165" fontId="0" fillId="0" borderId="0" xfId="0" applyNumberFormat="1"/>
    <xf numFmtId="0" fontId="0" fillId="0" borderId="42" xfId="0" applyBorder="1"/>
    <xf numFmtId="0" fontId="0" fillId="0" borderId="42" xfId="0" applyBorder="1" applyAlignment="1">
      <alignment horizontal="center" vertical="center"/>
    </xf>
    <xf numFmtId="0" fontId="2" fillId="0" borderId="42" xfId="0" applyFont="1" applyBorder="1" applyAlignment="1">
      <alignment horizontal="center"/>
    </xf>
    <xf numFmtId="0" fontId="0" fillId="0" borderId="43" xfId="0" applyBorder="1" applyAlignment="1">
      <alignment horizontal="center" vertical="center"/>
    </xf>
    <xf numFmtId="0" fontId="0" fillId="0" borderId="19" xfId="0" applyBorder="1" applyAlignment="1">
      <alignment horizontal="center" vertical="center"/>
    </xf>
    <xf numFmtId="0" fontId="2" fillId="0" borderId="45" xfId="0" applyFont="1" applyBorder="1"/>
    <xf numFmtId="0" fontId="2" fillId="0" borderId="19" xfId="0" applyFont="1" applyBorder="1" applyAlignment="1">
      <alignment horizontal="center"/>
    </xf>
    <xf numFmtId="0" fontId="2" fillId="0" borderId="48" xfId="0" applyFont="1" applyBorder="1"/>
    <xf numFmtId="0" fontId="0" fillId="0" borderId="22" xfId="0" applyBorder="1" applyAlignment="1">
      <alignment horizontal="center" vertical="center"/>
    </xf>
    <xf numFmtId="0" fontId="14" fillId="0" borderId="48" xfId="0" applyFont="1" applyBorder="1" applyAlignment="1">
      <alignment horizontal="center" vertical="center"/>
    </xf>
    <xf numFmtId="0" fontId="14" fillId="0" borderId="45" xfId="0" applyFont="1" applyBorder="1" applyAlignment="1">
      <alignment horizontal="center" vertical="center"/>
    </xf>
    <xf numFmtId="10" fontId="0" fillId="0" borderId="41" xfId="0" applyNumberFormat="1" applyBorder="1" applyAlignment="1">
      <alignment horizontal="center"/>
    </xf>
    <xf numFmtId="10" fontId="0" fillId="0" borderId="45" xfId="0" applyNumberFormat="1" applyBorder="1" applyAlignment="1">
      <alignment horizontal="center"/>
    </xf>
    <xf numFmtId="0" fontId="0" fillId="0" borderId="41" xfId="0" applyBorder="1" applyAlignment="1">
      <alignment horizontal="center" vertical="center"/>
    </xf>
    <xf numFmtId="0" fontId="0" fillId="0" borderId="45" xfId="0" applyBorder="1" applyAlignment="1">
      <alignment horizontal="center" vertical="center"/>
    </xf>
    <xf numFmtId="164" fontId="0" fillId="0" borderId="28" xfId="0" applyNumberFormat="1" applyBorder="1" applyAlignment="1">
      <alignment horizontal="center" vertical="center"/>
    </xf>
    <xf numFmtId="164" fontId="0" fillId="0" borderId="42" xfId="0" applyNumberFormat="1" applyBorder="1" applyAlignment="1">
      <alignment horizontal="center" vertical="center"/>
    </xf>
    <xf numFmtId="164" fontId="0" fillId="0" borderId="52" xfId="0" applyNumberFormat="1" applyBorder="1" applyAlignment="1">
      <alignment horizontal="center" vertical="center"/>
    </xf>
    <xf numFmtId="164" fontId="0" fillId="0" borderId="22" xfId="0" applyNumberFormat="1" applyBorder="1" applyAlignment="1">
      <alignment horizontal="center" vertical="center"/>
    </xf>
    <xf numFmtId="164" fontId="0" fillId="0" borderId="48" xfId="0" applyNumberFormat="1" applyBorder="1" applyAlignment="1">
      <alignment horizontal="center" vertical="center"/>
    </xf>
    <xf numFmtId="10" fontId="0" fillId="0" borderId="52" xfId="0" applyNumberFormat="1" applyBorder="1" applyAlignment="1">
      <alignment horizontal="center"/>
    </xf>
    <xf numFmtId="10" fontId="0" fillId="0" borderId="48" xfId="0" applyNumberFormat="1" applyBorder="1" applyAlignment="1">
      <alignment horizontal="center"/>
    </xf>
    <xf numFmtId="10" fontId="0" fillId="0" borderId="33" xfId="0" applyNumberFormat="1" applyBorder="1" applyAlignment="1">
      <alignment horizontal="center" vertical="center"/>
    </xf>
    <xf numFmtId="10" fontId="0" fillId="0" borderId="24" xfId="0" applyNumberFormat="1" applyBorder="1" applyAlignment="1">
      <alignment horizontal="center" vertical="center"/>
    </xf>
    <xf numFmtId="10" fontId="0" fillId="0" borderId="47" xfId="0" applyNumberFormat="1" applyBorder="1" applyAlignment="1">
      <alignment horizontal="center" vertical="center"/>
    </xf>
    <xf numFmtId="10" fontId="0" fillId="0" borderId="53" xfId="0" applyNumberFormat="1" applyBorder="1" applyAlignment="1">
      <alignment horizontal="center" vertical="center"/>
    </xf>
    <xf numFmtId="0" fontId="17" fillId="0" borderId="0" xfId="0" applyFont="1"/>
    <xf numFmtId="0" fontId="2" fillId="0" borderId="51" xfId="0" applyFont="1" applyBorder="1" applyAlignment="1">
      <alignment horizontal="center"/>
    </xf>
    <xf numFmtId="0" fontId="2" fillId="0" borderId="43" xfId="0" applyFont="1" applyBorder="1" applyAlignment="1">
      <alignment horizontal="center"/>
    </xf>
    <xf numFmtId="0" fontId="2" fillId="0" borderId="28" xfId="0" applyFont="1" applyBorder="1" applyAlignment="1">
      <alignment horizontal="center"/>
    </xf>
    <xf numFmtId="0" fontId="9" fillId="0" borderId="31" xfId="0" applyFont="1" applyBorder="1" applyAlignment="1">
      <alignment horizontal="center"/>
    </xf>
    <xf numFmtId="0" fontId="9" fillId="0" borderId="29" xfId="0" applyFont="1" applyBorder="1" applyAlignment="1">
      <alignment horizontal="center"/>
    </xf>
    <xf numFmtId="0" fontId="8" fillId="3" borderId="31" xfId="0" applyFont="1" applyFill="1" applyBorder="1" applyAlignment="1">
      <alignment horizontal="center" vertical="center"/>
    </xf>
    <xf numFmtId="0" fontId="8" fillId="3" borderId="30" xfId="0" applyFont="1" applyFill="1" applyBorder="1" applyAlignment="1">
      <alignment horizontal="center" vertical="center"/>
    </xf>
    <xf numFmtId="0" fontId="8" fillId="3" borderId="29" xfId="0" applyFont="1" applyFill="1" applyBorder="1" applyAlignment="1">
      <alignment horizontal="center" vertical="center"/>
    </xf>
    <xf numFmtId="0" fontId="6" fillId="2" borderId="28"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0" fillId="0" borderId="28" xfId="0" applyBorder="1" applyAlignment="1">
      <alignment horizontal="right"/>
    </xf>
    <xf numFmtId="0" fontId="0" fillId="0" borderId="40" xfId="0" applyBorder="1" applyAlignment="1">
      <alignment horizontal="right"/>
    </xf>
    <xf numFmtId="0" fontId="0" fillId="0" borderId="19" xfId="0" applyBorder="1" applyAlignment="1">
      <alignment horizontal="right"/>
    </xf>
    <xf numFmtId="0" fontId="0" fillId="0" borderId="44" xfId="0" applyBorder="1" applyAlignment="1">
      <alignment horizontal="right"/>
    </xf>
    <xf numFmtId="0" fontId="0" fillId="0" borderId="54" xfId="0" applyBorder="1" applyAlignment="1">
      <alignment horizontal="center"/>
    </xf>
    <xf numFmtId="0" fontId="0" fillId="0" borderId="46" xfId="0" applyBorder="1" applyAlignment="1">
      <alignment horizontal="center"/>
    </xf>
    <xf numFmtId="0" fontId="0" fillId="0" borderId="31" xfId="0" applyBorder="1" applyAlignment="1">
      <alignment horizontal="center" wrapText="1"/>
    </xf>
    <xf numFmtId="0" fontId="0" fillId="0" borderId="30" xfId="0" applyBorder="1" applyAlignment="1">
      <alignment horizontal="center" wrapText="1"/>
    </xf>
    <xf numFmtId="0" fontId="0" fillId="0" borderId="29" xfId="0" applyBorder="1" applyAlignment="1">
      <alignment horizontal="center" wrapText="1"/>
    </xf>
    <xf numFmtId="0" fontId="15" fillId="0" borderId="34" xfId="0" applyFont="1" applyBorder="1" applyAlignment="1">
      <alignment horizontal="center"/>
    </xf>
    <xf numFmtId="0" fontId="15" fillId="0" borderId="49" xfId="0" applyFont="1" applyBorder="1" applyAlignment="1">
      <alignment horizontal="center"/>
    </xf>
    <xf numFmtId="0" fontId="16" fillId="0" borderId="12" xfId="0" applyFont="1" applyBorder="1" applyAlignment="1">
      <alignment horizontal="center"/>
    </xf>
    <xf numFmtId="0" fontId="16" fillId="0" borderId="50" xfId="0" applyFont="1" applyBorder="1" applyAlignment="1">
      <alignment horizontal="center"/>
    </xf>
    <xf numFmtId="0" fontId="16" fillId="0" borderId="49" xfId="0" applyFont="1" applyBorder="1" applyAlignment="1">
      <alignment horizontal="center"/>
    </xf>
    <xf numFmtId="0" fontId="0" fillId="0" borderId="31" xfId="0" applyBorder="1" applyAlignment="1">
      <alignment horizontal="center" vertical="center"/>
    </xf>
    <xf numFmtId="0" fontId="0" fillId="0" borderId="30" xfId="0" applyBorder="1" applyAlignment="1">
      <alignment horizontal="center" vertical="center"/>
    </xf>
    <xf numFmtId="0" fontId="0" fillId="0" borderId="29" xfId="0" applyBorder="1" applyAlignment="1">
      <alignment horizontal="center" vertical="center"/>
    </xf>
  </cellXfs>
  <cellStyles count="3">
    <cellStyle name="Hipervínculo" xfId="2" builtinId="8"/>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13.png"/><Relationship Id="rId4" Type="http://schemas.openxmlformats.org/officeDocument/2006/relationships/image" Target="../media/image15.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4.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28574</xdr:rowOff>
    </xdr:from>
    <xdr:to>
      <xdr:col>11</xdr:col>
      <xdr:colOff>657225</xdr:colOff>
      <xdr:row>33</xdr:row>
      <xdr:rowOff>190499</xdr:rowOff>
    </xdr:to>
    <xdr:sp macro="" textlink="">
      <xdr:nvSpPr>
        <xdr:cNvPr id="2" name="CuadroTexto 1">
          <a:extLst>
            <a:ext uri="{FF2B5EF4-FFF2-40B4-BE49-F238E27FC236}">
              <a16:creationId xmlns:a16="http://schemas.microsoft.com/office/drawing/2014/main" id="{7567A5A0-9ECC-D8B7-7536-07054D5E5F23}"/>
            </a:ext>
          </a:extLst>
        </xdr:cNvPr>
        <xdr:cNvSpPr txBox="1"/>
      </xdr:nvSpPr>
      <xdr:spPr>
        <a:xfrm>
          <a:off x="1543050" y="219074"/>
          <a:ext cx="8258175" cy="618172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baseline="0">
              <a:solidFill>
                <a:schemeClr val="dk1"/>
              </a:solidFill>
              <a:latin typeface="+mn-lt"/>
              <a:ea typeface="+mn-ea"/>
              <a:cs typeface="+mn-cs"/>
            </a:rPr>
            <a:t>DETERMINATION OF CHEMICAL COMPOSITION OF LIQUID METAL BY MELTING SORTED FRACTIONS OF FERROUS SCRAP SAMPLES</a:t>
          </a:r>
        </a:p>
        <a:p>
          <a:endParaRPr lang="es-ES" sz="1100" b="0" i="0" u="none" strike="noStrike" baseline="0">
            <a:solidFill>
              <a:schemeClr val="dk1"/>
            </a:solidFill>
            <a:latin typeface="+mn-lt"/>
            <a:ea typeface="+mn-ea"/>
            <a:cs typeface="+mn-cs"/>
          </a:endParaRPr>
        </a:p>
        <a:p>
          <a:r>
            <a:rPr lang="es-ES" sz="1100" b="0" i="0" u="none" strike="noStrike" baseline="0">
              <a:solidFill>
                <a:schemeClr val="dk1"/>
              </a:solidFill>
              <a:latin typeface="+mn-lt"/>
              <a:ea typeface="+mn-ea"/>
              <a:cs typeface="+mn-cs"/>
            </a:rPr>
            <a:t>50 kg melting trials of 150 kg scrap samples of each batch, using an induction medium frequency electric furnace (100 kg capacity), followed by determination by Spark OES &amp; LECO elemental analysis of the chemical composition of solid samples of the tapped metal. </a:t>
          </a:r>
        </a:p>
        <a:p>
          <a:endParaRPr lang="es-ES" sz="1100" b="0" i="0" u="none" strike="noStrike" baseline="0">
            <a:solidFill>
              <a:schemeClr val="dk1"/>
            </a:solidFill>
            <a:latin typeface="+mn-lt"/>
            <a:ea typeface="+mn-ea"/>
            <a:cs typeface="+mn-cs"/>
          </a:endParaRPr>
        </a:p>
        <a:p>
          <a:r>
            <a:rPr lang="es-ES" sz="1100" b="0" i="0" u="none" strike="noStrike" baseline="0">
              <a:solidFill>
                <a:schemeClr val="dk1"/>
              </a:solidFill>
              <a:latin typeface="+mn-lt"/>
              <a:ea typeface="+mn-ea"/>
              <a:cs typeface="+mn-cs"/>
            </a:rPr>
            <a:t>The characterisation samples were taken by sampling, from top to bottom in a section, the scrap delivered in big-bags to AZTERLAN. Firstly, a visual inspection and hand sorting of the scrap pieces was done, each material category was weighed and the mass values were entered in the boxes of the recordsheet template. The scrap was classified into three main categories: </a:t>
          </a:r>
        </a:p>
        <a:p>
          <a:r>
            <a:rPr lang="es-ES" sz="1100" b="0" i="0" u="none" strike="noStrike" baseline="0">
              <a:solidFill>
                <a:schemeClr val="dk1"/>
              </a:solidFill>
              <a:latin typeface="+mn-lt"/>
              <a:ea typeface="+mn-ea"/>
              <a:cs typeface="+mn-cs"/>
            </a:rPr>
            <a:t>- steriles non adhering;</a:t>
          </a:r>
        </a:p>
        <a:p>
          <a:r>
            <a:rPr lang="es-ES" sz="1100" b="0" i="0" u="none" strike="noStrike" baseline="0">
              <a:solidFill>
                <a:schemeClr val="dk1"/>
              </a:solidFill>
              <a:latin typeface="+mn-lt"/>
              <a:ea typeface="+mn-ea"/>
              <a:cs typeface="+mn-cs"/>
            </a:rPr>
            <a:t>- steriles attached to ferrous scrap;</a:t>
          </a:r>
        </a:p>
        <a:p>
          <a:r>
            <a:rPr lang="es-ES" sz="1100" b="0" i="0" u="none" strike="noStrike" baseline="0">
              <a:solidFill>
                <a:schemeClr val="dk1"/>
              </a:solidFill>
              <a:latin typeface="+mn-lt"/>
              <a:ea typeface="+mn-ea"/>
              <a:cs typeface="+mn-cs"/>
            </a:rPr>
            <a:t>- and purely iron (in a macroscopic sense) &amp; steel scrap. </a:t>
          </a:r>
        </a:p>
        <a:p>
          <a:r>
            <a:rPr lang="es-ES" sz="1100" b="0" i="0" u="none" strike="noStrike" baseline="0">
              <a:solidFill>
                <a:schemeClr val="dk1"/>
              </a:solidFill>
              <a:latin typeface="+mn-lt"/>
              <a:ea typeface="+mn-ea"/>
              <a:cs typeface="+mn-cs"/>
            </a:rPr>
            <a:t>Within each category, further sorting by the nature of the materials was carried out and the scrap “safely chargeable in the furnace” was identified. Non-metallic materials, aerosols and other hollow bodies/containers, as well as composite scrap with combustible materials, were removed (they were not charged in the furnace) and separately characterised. </a:t>
          </a:r>
        </a:p>
        <a:p>
          <a:endParaRPr lang="es-ES" sz="1100" b="0" i="0" u="none" strike="noStrike" baseline="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ES" sz="1100" b="0" i="0" baseline="0">
              <a:solidFill>
                <a:schemeClr val="dk1"/>
              </a:solidFill>
              <a:effectLst/>
              <a:latin typeface="+mn-lt"/>
              <a:ea typeface="+mn-ea"/>
              <a:cs typeface="+mn-cs"/>
            </a:rPr>
            <a:t>For safety reasons, the classified scrap fractions to be charged in the induction melting furnace were thermally treated, previously (3 hours at 1100ºC with slow cooling inside the oven), for removal of moisture, zinc, organic materials and coatings. Mass variations after the thermal treatment were anotated.</a:t>
          </a:r>
          <a:endParaRPr lang="es-ES">
            <a:effectLst/>
          </a:endParaRPr>
        </a:p>
        <a:p>
          <a:endParaRPr lang="es-ES" sz="1100" b="0" i="0" u="none" strike="noStrike" baseline="0">
            <a:solidFill>
              <a:schemeClr val="dk1"/>
            </a:solidFill>
            <a:latin typeface="+mn-lt"/>
            <a:ea typeface="+mn-ea"/>
            <a:cs typeface="+mn-cs"/>
          </a:endParaRPr>
        </a:p>
        <a:p>
          <a:r>
            <a:rPr lang="es-ES" sz="1100" b="0" i="0" u="none" strike="noStrike" baseline="0">
              <a:solidFill>
                <a:schemeClr val="dk1"/>
              </a:solidFill>
              <a:latin typeface="+mn-lt"/>
              <a:ea typeface="+mn-ea"/>
              <a:cs typeface="+mn-cs"/>
            </a:rPr>
            <a:t>The thermally treated scrap fractions were melted in the induction furnace using a hot heel of pig iron —if required by the characteristics of the scrap. If so, the following procedure was used: first, a hot heel of iron 99.8% purity was melted with a few hundred grams of graphite. Once the iron was melted, the scrap was added little by little. Once the entire scrap charge had been fed, the metal was heated up to 1650 ºC, being necessary during the process to add small amounts of graphite, FeSiCa and aluminium to deoxidise the metal. The mass of every addition was recorded. A sample of liquid steel is taken to cast an analysis specimen and the hot metal is poured into a ladle, together with 25 g of aluminium to kill the metal. The ladle full of molten metal is weighed with a crane scale before tapping the steel, to calculate the metal yield of the melting test. </a:t>
          </a:r>
        </a:p>
        <a:p>
          <a:endParaRPr lang="es-ES" sz="1100" b="0" i="0" u="none" strike="noStrike" baseline="0">
            <a:solidFill>
              <a:schemeClr val="dk1"/>
            </a:solidFill>
            <a:latin typeface="+mn-lt"/>
            <a:ea typeface="+mn-ea"/>
            <a:cs typeface="+mn-cs"/>
          </a:endParaRPr>
        </a:p>
        <a:p>
          <a:r>
            <a:rPr lang="es-ES" sz="1100" b="0" i="0" u="none" strike="noStrike" baseline="0">
              <a:solidFill>
                <a:schemeClr val="dk1"/>
              </a:solidFill>
              <a:latin typeface="+mn-lt"/>
              <a:ea typeface="+mn-ea"/>
              <a:cs typeface="+mn-cs"/>
            </a:rPr>
            <a:t>At least 2 heats per sample were performed and the mean values </a:t>
          </a:r>
          <a:r>
            <a:rPr lang="es-ES" sz="1100" b="0" i="0" baseline="0">
              <a:solidFill>
                <a:schemeClr val="dk1"/>
              </a:solidFill>
              <a:effectLst/>
              <a:latin typeface="+mn-lt"/>
              <a:ea typeface="+mn-ea"/>
              <a:cs typeface="+mn-cs"/>
            </a:rPr>
            <a:t>of the elemental composition of the metal were calculated, based on the chemical composition results of each specimen analysed </a:t>
          </a:r>
          <a:r>
            <a:rPr lang="es-ES" sz="1100" b="0" i="0" u="none" strike="noStrike" baseline="0">
              <a:solidFill>
                <a:schemeClr val="dk1"/>
              </a:solidFill>
              <a:latin typeface="+mn-lt"/>
              <a:ea typeface="+mn-ea"/>
              <a:cs typeface="+mn-cs"/>
            </a:rPr>
            <a:t>.</a:t>
          </a:r>
        </a:p>
        <a:p>
          <a:endParaRPr lang="es-ES" sz="1100" b="0" i="0" u="none" strike="noStrike" baseline="0">
            <a:solidFill>
              <a:schemeClr val="dk1"/>
            </a:solidFill>
            <a:latin typeface="+mn-lt"/>
            <a:ea typeface="+mn-ea"/>
            <a:cs typeface="+mn-cs"/>
          </a:endParaRPr>
        </a:p>
        <a:p>
          <a:r>
            <a:rPr lang="es-ES" sz="1100" b="0" i="0" u="sng" strike="noStrike" baseline="0">
              <a:solidFill>
                <a:schemeClr val="dk1"/>
              </a:solidFill>
              <a:latin typeface="+mn-lt"/>
              <a:ea typeface="+mn-ea"/>
              <a:cs typeface="+mn-cs"/>
            </a:rPr>
            <a:t>RESULTS DATASHEETS (current book):</a:t>
          </a:r>
        </a:p>
        <a:p>
          <a:r>
            <a:rPr lang="es-ES" sz="1100" b="0" i="0" u="none" strike="noStrike" baseline="0">
              <a:solidFill>
                <a:schemeClr val="dk1"/>
              </a:solidFill>
              <a:latin typeface="+mn-lt"/>
              <a:ea typeface="+mn-ea"/>
              <a:cs typeface="+mn-cs"/>
            </a:rPr>
            <a:t>	</a:t>
          </a:r>
          <a:r>
            <a:rPr lang="es-ES" sz="1100" b="0" i="0" u="none" strike="noStrike">
              <a:solidFill>
                <a:schemeClr val="dk1"/>
              </a:solidFill>
              <a:effectLst/>
              <a:latin typeface="+mn-lt"/>
              <a:ea typeface="+mn-ea"/>
              <a:cs typeface="+mn-cs"/>
            </a:rPr>
            <a:t>E1</a:t>
          </a:r>
        </a:p>
        <a:p>
          <a:r>
            <a:rPr lang="es-ES" sz="1100" b="0" i="0" u="none" strike="noStrike">
              <a:solidFill>
                <a:schemeClr val="dk1"/>
              </a:solidFill>
              <a:effectLst/>
              <a:latin typeface="+mn-lt"/>
              <a:ea typeface="+mn-ea"/>
              <a:cs typeface="+mn-cs"/>
            </a:rPr>
            <a:t>	E40-1A</a:t>
          </a:r>
        </a:p>
        <a:p>
          <a:r>
            <a:rPr lang="es-ES" sz="1100" b="0" i="0" u="none" strike="noStrike">
              <a:solidFill>
                <a:schemeClr val="dk1"/>
              </a:solidFill>
              <a:effectLst/>
              <a:latin typeface="+mn-lt"/>
              <a:ea typeface="+mn-ea"/>
              <a:cs typeface="+mn-cs"/>
            </a:rPr>
            <a:t>	E40-1Y</a:t>
          </a:r>
        </a:p>
        <a:p>
          <a:r>
            <a:rPr lang="es-ES" sz="1100" b="0" i="0" u="none" strike="noStrike">
              <a:solidFill>
                <a:schemeClr val="dk1"/>
              </a:solidFill>
              <a:effectLst/>
              <a:latin typeface="+mn-lt"/>
              <a:ea typeface="+mn-ea"/>
              <a:cs typeface="+mn-cs"/>
            </a:rPr>
            <a:t>	</a:t>
          </a:r>
          <a:r>
            <a:rPr lang="es-ES"/>
            <a:t>WEEE</a:t>
          </a:r>
        </a:p>
        <a:p>
          <a:r>
            <a:rPr lang="es-ES" sz="1100"/>
            <a:t>	Tapped metal - chem. analysis</a:t>
          </a:r>
        </a:p>
      </xdr:txBody>
    </xdr:sp>
    <xdr:clientData/>
  </xdr:twoCellAnchor>
  <xdr:twoCellAnchor>
    <xdr:from>
      <xdr:col>12</xdr:col>
      <xdr:colOff>38100</xdr:colOff>
      <xdr:row>1</xdr:row>
      <xdr:rowOff>47625</xdr:rowOff>
    </xdr:from>
    <xdr:to>
      <xdr:col>22</xdr:col>
      <xdr:colOff>676275</xdr:colOff>
      <xdr:row>25</xdr:row>
      <xdr:rowOff>114300</xdr:rowOff>
    </xdr:to>
    <xdr:sp macro="" textlink="">
      <xdr:nvSpPr>
        <xdr:cNvPr id="3" name="CuadroTexto 2">
          <a:extLst>
            <a:ext uri="{FF2B5EF4-FFF2-40B4-BE49-F238E27FC236}">
              <a16:creationId xmlns:a16="http://schemas.microsoft.com/office/drawing/2014/main" id="{0C312CF4-80A7-ADEE-500B-EE956BAB45A5}"/>
            </a:ext>
          </a:extLst>
        </xdr:cNvPr>
        <xdr:cNvSpPr txBox="1"/>
      </xdr:nvSpPr>
      <xdr:spPr>
        <a:xfrm>
          <a:off x="9182100" y="238125"/>
          <a:ext cx="8258175" cy="45624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baseline="0">
              <a:solidFill>
                <a:schemeClr val="dk1"/>
              </a:solidFill>
              <a:latin typeface="+mn-lt"/>
              <a:ea typeface="+mn-ea"/>
              <a:cs typeface="+mn-cs"/>
            </a:rPr>
            <a:t>DETERMINATION OF CHEMICAL COMPOSITION OF LIQUID METAL BY MELTING SORTED FRACTIONS OF NON-FERROUS SCRAP SAMPLES</a:t>
          </a:r>
        </a:p>
        <a:p>
          <a:endParaRPr lang="es-ES" sz="1100" b="0" i="0" u="none" strike="noStrike" baseline="0">
            <a:solidFill>
              <a:schemeClr val="dk1"/>
            </a:solidFill>
            <a:latin typeface="+mn-lt"/>
            <a:ea typeface="+mn-ea"/>
            <a:cs typeface="+mn-cs"/>
          </a:endParaRPr>
        </a:p>
        <a:p>
          <a:r>
            <a:rPr lang="es-ES" sz="1100" b="0" i="0" u="none" strike="noStrike" baseline="0">
              <a:solidFill>
                <a:schemeClr val="dk1"/>
              </a:solidFill>
              <a:latin typeface="+mn-lt"/>
              <a:ea typeface="+mn-ea"/>
              <a:cs typeface="+mn-cs"/>
            </a:rPr>
            <a:t>The characterisation samples were taken by sampling, from top to bottom in a section, the  samples of sorted and concentrated metallic scrap fractions delivered in bags to AZTERLAN. Firstly, a visual inspection was done.</a:t>
          </a:r>
        </a:p>
        <a:p>
          <a:r>
            <a:rPr lang="es-ES" sz="1100" b="0" i="0" u="none" strike="noStrike" baseline="0">
              <a:solidFill>
                <a:schemeClr val="dk1"/>
              </a:solidFill>
              <a:latin typeface="+mn-lt"/>
              <a:ea typeface="+mn-ea"/>
              <a:cs typeface="+mn-cs"/>
            </a:rPr>
            <a:t>-  If particle size &gt; 15 mm, hand sorting of the scrap pieces was done, removing non-metallic materials and recording their weight data.</a:t>
          </a:r>
        </a:p>
        <a:p>
          <a:r>
            <a:rPr lang="es-ES" sz="1100" b="0" i="0" u="none" strike="noStrike" baseline="0">
              <a:solidFill>
                <a:schemeClr val="dk1"/>
              </a:solidFill>
              <a:latin typeface="+mn-lt"/>
              <a:ea typeface="+mn-ea"/>
              <a:cs typeface="+mn-cs"/>
            </a:rPr>
            <a:t>- if particle size &lt;=15 mm, no hand sorting step was applied.</a:t>
          </a:r>
        </a:p>
        <a:p>
          <a:endParaRPr lang="es-ES" sz="1100" b="0" i="0" u="none" strike="noStrike" baseline="0">
            <a:solidFill>
              <a:schemeClr val="dk1"/>
            </a:solidFill>
            <a:latin typeface="+mn-lt"/>
            <a:ea typeface="+mn-ea"/>
            <a:cs typeface="+mn-cs"/>
          </a:endParaRPr>
        </a:p>
        <a:p>
          <a:r>
            <a:rPr lang="es-ES" sz="1100" b="0" i="0" u="none" strike="noStrike" baseline="0">
              <a:solidFill>
                <a:schemeClr val="dk1"/>
              </a:solidFill>
              <a:latin typeface="+mn-lt"/>
              <a:ea typeface="+mn-ea"/>
              <a:cs typeface="+mn-cs"/>
            </a:rPr>
            <a:t>Procedure for determing the chemical composition of each recovered metallic fraction: </a:t>
          </a:r>
          <a:r>
            <a:rPr lang="en-GB" sz="1100">
              <a:solidFill>
                <a:schemeClr val="dk1"/>
              </a:solidFill>
              <a:effectLst/>
              <a:latin typeface="+mn-lt"/>
              <a:ea typeface="+mn-ea"/>
              <a:cs typeface="+mn-cs"/>
            </a:rPr>
            <a:t>Chemical analysis by Spark-OES of metal specimens obtained after melting the characterisation samples taken. </a:t>
          </a:r>
        </a:p>
        <a:p>
          <a:r>
            <a:rPr lang="en-GB" sz="1100">
              <a:solidFill>
                <a:schemeClr val="dk1"/>
              </a:solidFill>
              <a:effectLst/>
              <a:latin typeface="+mn-lt"/>
              <a:ea typeface="+mn-ea"/>
              <a:cs typeface="+mn-cs"/>
            </a:rPr>
            <a:t>-  A small pilot electric resistance furnace of capacity 4-6 kg was used for the samples of aluminium rich fractions. The scrap material was pre-treated at 105 °C for 3 hours to remove possible moisture. Each dried sample was divided into two independent melting samples and two heats were performed. During both melting tests, an average temperature of 690 °C was maintained.</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One analysis specimen was casted per heat.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A vacuum induction furnace (max. capacity = 20 kg) was employed for melting the analysis samples of the copper rich fraction</a:t>
          </a:r>
          <a:r>
            <a:rPr lang="en-GB" sz="1100" baseline="0">
              <a:solidFill>
                <a:schemeClr val="dk1"/>
              </a:solidFill>
              <a:effectLst/>
              <a:latin typeface="+mn-lt"/>
              <a:ea typeface="+mn-ea"/>
              <a:cs typeface="+mn-cs"/>
            </a:rPr>
            <a:t> of larger particle size. Cu-L-WEEE fraction samples </a:t>
          </a:r>
          <a:r>
            <a:rPr lang="en-GB" sz="1100">
              <a:solidFill>
                <a:schemeClr val="dk1"/>
              </a:solidFill>
              <a:effectLst/>
              <a:latin typeface="+mn-lt"/>
              <a:ea typeface="+mn-ea"/>
              <a:cs typeface="+mn-cs"/>
            </a:rPr>
            <a:t>were melted in a vacuum furnace at 1–2 mbar. After 45 minutes at max 15 kW, a sample was taken and its chemical composition analysed.</a:t>
          </a:r>
          <a:r>
            <a:rPr lang="en-GB" sz="1100" baseline="0">
              <a:solidFill>
                <a:schemeClr val="dk1"/>
              </a:solidFill>
              <a:effectLst/>
              <a:latin typeface="+mn-lt"/>
              <a:ea typeface="+mn-ea"/>
              <a:cs typeface="+mn-cs"/>
            </a:rPr>
            <a:t> </a:t>
          </a:r>
        </a:p>
        <a:p>
          <a:endParaRPr lang="en-GB" sz="1100" baseline="0">
            <a:solidFill>
              <a:schemeClr val="dk1"/>
            </a:solidFill>
            <a:effectLst/>
            <a:latin typeface="+mn-lt"/>
            <a:ea typeface="+mn-ea"/>
            <a:cs typeface="+mn-cs"/>
          </a:endParaRPr>
        </a:p>
        <a:p>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The chemical analysis of the samples of  the copper rich fraction of smaller sized particles was performed on  samples fused in a laboratory remelting unit for sample preparation for spectroscopy.</a:t>
          </a:r>
        </a:p>
        <a:p>
          <a:endParaRPr lang="es-ES" sz="1100" b="0" i="0" u="none" strike="noStrike" baseline="0">
            <a:solidFill>
              <a:schemeClr val="dk1"/>
            </a:solidFill>
            <a:latin typeface="+mn-lt"/>
            <a:ea typeface="+mn-ea"/>
            <a:cs typeface="+mn-cs"/>
          </a:endParaRPr>
        </a:p>
        <a:p>
          <a:r>
            <a:rPr lang="es-ES" sz="1100" b="0" i="0" u="none" strike="noStrike" baseline="0">
              <a:solidFill>
                <a:schemeClr val="dk1"/>
              </a:solidFill>
              <a:latin typeface="+mn-lt"/>
              <a:ea typeface="+mn-ea"/>
              <a:cs typeface="+mn-cs"/>
            </a:rPr>
            <a:t>For each metallic fraction sample, </a:t>
          </a:r>
          <a:r>
            <a:rPr lang="es-ES" sz="1100" b="0" i="0" baseline="0">
              <a:solidFill>
                <a:schemeClr val="dk1"/>
              </a:solidFill>
              <a:effectLst/>
              <a:latin typeface="+mn-lt"/>
              <a:ea typeface="+mn-ea"/>
              <a:cs typeface="+mn-cs"/>
            </a:rPr>
            <a:t>the mean values of the elemental composition of the melt were calculated, based on the chemical composition results of each specimen analysed .</a:t>
          </a:r>
        </a:p>
        <a:p>
          <a:endParaRPr lang="es-ES" sz="1100" b="0" i="0" u="none" strike="noStrike" baseline="0">
            <a:solidFill>
              <a:schemeClr val="dk1"/>
            </a:solidFill>
            <a:latin typeface="+mn-lt"/>
            <a:ea typeface="+mn-ea"/>
            <a:cs typeface="+mn-cs"/>
          </a:endParaRPr>
        </a:p>
        <a:p>
          <a:r>
            <a:rPr lang="es-ES" sz="1100" b="0" i="0" u="sng" strike="noStrike" baseline="0">
              <a:solidFill>
                <a:schemeClr val="dk1"/>
              </a:solidFill>
              <a:latin typeface="+mn-lt"/>
              <a:ea typeface="+mn-ea"/>
              <a:cs typeface="+mn-cs"/>
            </a:rPr>
            <a:t>RESULTS DATASHEETS (current book):</a:t>
          </a:r>
        </a:p>
        <a:p>
          <a:r>
            <a:rPr lang="es-ES" sz="1100" b="0" i="0" u="none" strike="noStrike" baseline="0">
              <a:solidFill>
                <a:schemeClr val="dk1"/>
              </a:solidFill>
              <a:latin typeface="+mn-lt"/>
              <a:ea typeface="+mn-ea"/>
              <a:cs typeface="+mn-cs"/>
            </a:rPr>
            <a:t>	</a:t>
          </a:r>
          <a:r>
            <a:rPr lang="es-ES" sz="1100" b="0" i="0" u="none" strike="noStrike">
              <a:solidFill>
                <a:schemeClr val="dk1"/>
              </a:solidFill>
              <a:effectLst/>
              <a:latin typeface="+mn-lt"/>
              <a:ea typeface="+mn-ea"/>
              <a:cs typeface="+mn-cs"/>
            </a:rPr>
            <a:t>recov. NF metals -chem.analysis</a:t>
          </a:r>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21</xdr:col>
      <xdr:colOff>0</xdr:colOff>
      <xdr:row>39</xdr:row>
      <xdr:rowOff>0</xdr:rowOff>
    </xdr:from>
    <xdr:ext cx="4584589" cy="2755631"/>
    <xdr:pic>
      <xdr:nvPicPr>
        <xdr:cNvPr id="5" name="Imagen 4">
          <a:extLst>
            <a:ext uri="{FF2B5EF4-FFF2-40B4-BE49-F238E27FC236}">
              <a16:creationId xmlns:a16="http://schemas.microsoft.com/office/drawing/2014/main" id="{D1788A4D-4C75-46A1-91C8-E8004AAE6975}"/>
            </a:ext>
          </a:extLst>
        </xdr:cNvPr>
        <xdr:cNvPicPr>
          <a:picLocks noChangeAspect="1"/>
        </xdr:cNvPicPr>
      </xdr:nvPicPr>
      <xdr:blipFill>
        <a:blip xmlns:r="http://schemas.openxmlformats.org/officeDocument/2006/relationships" r:embed="rId1"/>
        <a:stretch>
          <a:fillRect/>
        </a:stretch>
      </xdr:blipFill>
      <xdr:spPr>
        <a:xfrm>
          <a:off x="6858000" y="12382500"/>
          <a:ext cx="4584589" cy="2755631"/>
        </a:xfrm>
        <a:prstGeom prst="rect">
          <a:avLst/>
        </a:prstGeom>
      </xdr:spPr>
    </xdr:pic>
    <xdr:clientData/>
  </xdr:oneCellAnchor>
  <xdr:oneCellAnchor>
    <xdr:from>
      <xdr:col>28</xdr:col>
      <xdr:colOff>0</xdr:colOff>
      <xdr:row>39</xdr:row>
      <xdr:rowOff>0</xdr:rowOff>
    </xdr:from>
    <xdr:ext cx="4584589" cy="2761727"/>
    <xdr:pic>
      <xdr:nvPicPr>
        <xdr:cNvPr id="6" name="Imagen 5">
          <a:extLst>
            <a:ext uri="{FF2B5EF4-FFF2-40B4-BE49-F238E27FC236}">
              <a16:creationId xmlns:a16="http://schemas.microsoft.com/office/drawing/2014/main" id="{C7985A89-A938-40E1-84C7-7F90DE1532D6}"/>
            </a:ext>
          </a:extLst>
        </xdr:cNvPr>
        <xdr:cNvPicPr>
          <a:picLocks noChangeAspect="1"/>
        </xdr:cNvPicPr>
      </xdr:nvPicPr>
      <xdr:blipFill>
        <a:blip xmlns:r="http://schemas.openxmlformats.org/officeDocument/2006/relationships" r:embed="rId2"/>
        <a:stretch>
          <a:fillRect/>
        </a:stretch>
      </xdr:blipFill>
      <xdr:spPr>
        <a:xfrm>
          <a:off x="12192000" y="12382500"/>
          <a:ext cx="4584589" cy="2761727"/>
        </a:xfrm>
        <a:prstGeom prst="rect">
          <a:avLst/>
        </a:prstGeom>
      </xdr:spPr>
    </xdr:pic>
    <xdr:clientData/>
  </xdr:oneCellAnchor>
  <xdr:oneCellAnchor>
    <xdr:from>
      <xdr:col>34</xdr:col>
      <xdr:colOff>142875</xdr:colOff>
      <xdr:row>39</xdr:row>
      <xdr:rowOff>0</xdr:rowOff>
    </xdr:from>
    <xdr:ext cx="4584589" cy="2755631"/>
    <xdr:pic>
      <xdr:nvPicPr>
        <xdr:cNvPr id="7" name="Imagen 6">
          <a:extLst>
            <a:ext uri="{FF2B5EF4-FFF2-40B4-BE49-F238E27FC236}">
              <a16:creationId xmlns:a16="http://schemas.microsoft.com/office/drawing/2014/main" id="{F26EF7C7-0271-41C8-BE59-998279DD0EF9}"/>
            </a:ext>
          </a:extLst>
        </xdr:cNvPr>
        <xdr:cNvPicPr>
          <a:picLocks noChangeAspect="1"/>
        </xdr:cNvPicPr>
      </xdr:nvPicPr>
      <xdr:blipFill>
        <a:blip xmlns:r="http://schemas.openxmlformats.org/officeDocument/2006/relationships" r:embed="rId3"/>
        <a:stretch>
          <a:fillRect/>
        </a:stretch>
      </xdr:blipFill>
      <xdr:spPr>
        <a:xfrm>
          <a:off x="16906875" y="12382500"/>
          <a:ext cx="4584589" cy="2755631"/>
        </a:xfrm>
        <a:prstGeom prst="rect">
          <a:avLst/>
        </a:prstGeom>
      </xdr:spPr>
    </xdr:pic>
    <xdr:clientData/>
  </xdr:oneCellAnchor>
  <xdr:oneCellAnchor>
    <xdr:from>
      <xdr:col>31</xdr:col>
      <xdr:colOff>0</xdr:colOff>
      <xdr:row>55</xdr:row>
      <xdr:rowOff>0</xdr:rowOff>
    </xdr:from>
    <xdr:ext cx="5736833" cy="4602879"/>
    <xdr:pic>
      <xdr:nvPicPr>
        <xdr:cNvPr id="8" name="Imagen 7">
          <a:extLst>
            <a:ext uri="{FF2B5EF4-FFF2-40B4-BE49-F238E27FC236}">
              <a16:creationId xmlns:a16="http://schemas.microsoft.com/office/drawing/2014/main" id="{BE3C351C-5532-472A-BCB5-29448F192F93}"/>
            </a:ext>
          </a:extLst>
        </xdr:cNvPr>
        <xdr:cNvPicPr>
          <a:picLocks noChangeAspect="1"/>
        </xdr:cNvPicPr>
      </xdr:nvPicPr>
      <xdr:blipFill>
        <a:blip xmlns:r="http://schemas.openxmlformats.org/officeDocument/2006/relationships" r:embed="rId4"/>
        <a:stretch>
          <a:fillRect/>
        </a:stretch>
      </xdr:blipFill>
      <xdr:spPr>
        <a:xfrm>
          <a:off x="14478000" y="15430500"/>
          <a:ext cx="5736833" cy="4602879"/>
        </a:xfrm>
        <a:prstGeom prst="rect">
          <a:avLst/>
        </a:prstGeom>
      </xdr:spPr>
    </xdr:pic>
    <xdr:clientData/>
  </xdr:oneCellAnchor>
  <xdr:twoCellAnchor editAs="oneCell">
    <xdr:from>
      <xdr:col>0</xdr:col>
      <xdr:colOff>761999</xdr:colOff>
      <xdr:row>3</xdr:row>
      <xdr:rowOff>38099</xdr:rowOff>
    </xdr:from>
    <xdr:to>
      <xdr:col>11</xdr:col>
      <xdr:colOff>732844</xdr:colOff>
      <xdr:row>33</xdr:row>
      <xdr:rowOff>47624</xdr:rowOff>
    </xdr:to>
    <xdr:pic>
      <xdr:nvPicPr>
        <xdr:cNvPr id="9" name="Imagen 8">
          <a:extLst>
            <a:ext uri="{FF2B5EF4-FFF2-40B4-BE49-F238E27FC236}">
              <a16:creationId xmlns:a16="http://schemas.microsoft.com/office/drawing/2014/main" id="{CFC67897-217B-99CB-7F10-FC1339CD274A}"/>
            </a:ext>
          </a:extLst>
        </xdr:cNvPr>
        <xdr:cNvPicPr>
          <a:picLocks noChangeAspect="1"/>
        </xdr:cNvPicPr>
      </xdr:nvPicPr>
      <xdr:blipFill>
        <a:blip xmlns:r="http://schemas.openxmlformats.org/officeDocument/2006/relationships" r:embed="rId5"/>
        <a:stretch>
          <a:fillRect/>
        </a:stretch>
      </xdr:blipFill>
      <xdr:spPr>
        <a:xfrm>
          <a:off x="761999" y="619124"/>
          <a:ext cx="8352845" cy="5743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2</xdr:row>
      <xdr:rowOff>0</xdr:rowOff>
    </xdr:from>
    <xdr:ext cx="5989380" cy="3600000"/>
    <xdr:pic>
      <xdr:nvPicPr>
        <xdr:cNvPr id="2" name="Imagen 1">
          <a:extLst>
            <a:ext uri="{FF2B5EF4-FFF2-40B4-BE49-F238E27FC236}">
              <a16:creationId xmlns:a16="http://schemas.microsoft.com/office/drawing/2014/main" id="{199BEAE1-F957-4157-93BA-B4A9199E27C7}"/>
            </a:ext>
          </a:extLst>
        </xdr:cNvPr>
        <xdr:cNvPicPr>
          <a:picLocks noChangeAspect="1"/>
        </xdr:cNvPicPr>
      </xdr:nvPicPr>
      <xdr:blipFill>
        <a:blip xmlns:r="http://schemas.openxmlformats.org/officeDocument/2006/relationships" r:embed="rId1"/>
        <a:stretch>
          <a:fillRect/>
        </a:stretch>
      </xdr:blipFill>
      <xdr:spPr>
        <a:xfrm>
          <a:off x="1524000" y="381000"/>
          <a:ext cx="5989380" cy="36000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7</xdr:col>
      <xdr:colOff>552450</xdr:colOff>
      <xdr:row>17</xdr:row>
      <xdr:rowOff>104775</xdr:rowOff>
    </xdr:from>
    <xdr:ext cx="5727641" cy="4320000"/>
    <xdr:pic>
      <xdr:nvPicPr>
        <xdr:cNvPr id="2" name="Imagen 1">
          <a:extLst>
            <a:ext uri="{FF2B5EF4-FFF2-40B4-BE49-F238E27FC236}">
              <a16:creationId xmlns:a16="http://schemas.microsoft.com/office/drawing/2014/main" id="{A99F7FB2-4F3D-491F-87FC-882005B28190}"/>
            </a:ext>
          </a:extLst>
        </xdr:cNvPr>
        <xdr:cNvPicPr>
          <a:picLocks noChangeAspect="1"/>
        </xdr:cNvPicPr>
      </xdr:nvPicPr>
      <xdr:blipFill>
        <a:blip xmlns:r="http://schemas.openxmlformats.org/officeDocument/2006/relationships" r:embed="rId1"/>
        <a:stretch>
          <a:fillRect/>
        </a:stretch>
      </xdr:blipFill>
      <xdr:spPr>
        <a:xfrm>
          <a:off x="5886450" y="5438775"/>
          <a:ext cx="5727641" cy="4320000"/>
        </a:xfrm>
        <a:prstGeom prst="rect">
          <a:avLst/>
        </a:prstGeom>
      </xdr:spPr>
    </xdr:pic>
    <xdr:clientData/>
  </xdr:oneCellAnchor>
  <xdr:oneCellAnchor>
    <xdr:from>
      <xdr:col>15</xdr:col>
      <xdr:colOff>266701</xdr:colOff>
      <xdr:row>17</xdr:row>
      <xdr:rowOff>114300</xdr:rowOff>
    </xdr:from>
    <xdr:ext cx="5721573" cy="4320000"/>
    <xdr:pic>
      <xdr:nvPicPr>
        <xdr:cNvPr id="3" name="Imagen 2">
          <a:extLst>
            <a:ext uri="{FF2B5EF4-FFF2-40B4-BE49-F238E27FC236}">
              <a16:creationId xmlns:a16="http://schemas.microsoft.com/office/drawing/2014/main" id="{F15DDEA8-DDAA-45FD-A1F1-F4D9BBC947A9}"/>
            </a:ext>
          </a:extLst>
        </xdr:cNvPr>
        <xdr:cNvPicPr>
          <a:picLocks noChangeAspect="1"/>
        </xdr:cNvPicPr>
      </xdr:nvPicPr>
      <xdr:blipFill>
        <a:blip xmlns:r="http://schemas.openxmlformats.org/officeDocument/2006/relationships" r:embed="rId2"/>
        <a:stretch>
          <a:fillRect/>
        </a:stretch>
      </xdr:blipFill>
      <xdr:spPr>
        <a:xfrm>
          <a:off x="11696701" y="5448300"/>
          <a:ext cx="5721573" cy="4320000"/>
        </a:xfrm>
        <a:prstGeom prst="rect">
          <a:avLst/>
        </a:prstGeom>
      </xdr:spPr>
    </xdr:pic>
    <xdr:clientData/>
  </xdr:oneCellAnchor>
  <xdr:twoCellAnchor editAs="oneCell">
    <xdr:from>
      <xdr:col>0</xdr:col>
      <xdr:colOff>361950</xdr:colOff>
      <xdr:row>17</xdr:row>
      <xdr:rowOff>114300</xdr:rowOff>
    </xdr:from>
    <xdr:to>
      <xdr:col>7</xdr:col>
      <xdr:colOff>435571</xdr:colOff>
      <xdr:row>40</xdr:row>
      <xdr:rowOff>49142</xdr:rowOff>
    </xdr:to>
    <xdr:pic>
      <xdr:nvPicPr>
        <xdr:cNvPr id="7" name="Imagen 6">
          <a:extLst>
            <a:ext uri="{FF2B5EF4-FFF2-40B4-BE49-F238E27FC236}">
              <a16:creationId xmlns:a16="http://schemas.microsoft.com/office/drawing/2014/main" id="{C94BD50E-03E8-9425-03E3-185B36B74642}"/>
            </a:ext>
          </a:extLst>
        </xdr:cNvPr>
        <xdr:cNvPicPr>
          <a:picLocks noChangeAspect="1"/>
        </xdr:cNvPicPr>
      </xdr:nvPicPr>
      <xdr:blipFill>
        <a:blip xmlns:r="http://schemas.openxmlformats.org/officeDocument/2006/relationships" r:embed="rId3"/>
        <a:stretch>
          <a:fillRect/>
        </a:stretch>
      </xdr:blipFill>
      <xdr:spPr>
        <a:xfrm>
          <a:off x="361950" y="5448300"/>
          <a:ext cx="5407621" cy="4316342"/>
        </a:xfrm>
        <a:prstGeom prst="rect">
          <a:avLst/>
        </a:prstGeom>
      </xdr:spPr>
    </xdr:pic>
    <xdr:clientData/>
  </xdr:twoCellAnchor>
  <xdr:twoCellAnchor editAs="oneCell">
    <xdr:from>
      <xdr:col>0</xdr:col>
      <xdr:colOff>676274</xdr:colOff>
      <xdr:row>0</xdr:row>
      <xdr:rowOff>190499</xdr:rowOff>
    </xdr:from>
    <xdr:to>
      <xdr:col>7</xdr:col>
      <xdr:colOff>97500</xdr:colOff>
      <xdr:row>16</xdr:row>
      <xdr:rowOff>4499</xdr:rowOff>
    </xdr:to>
    <xdr:pic>
      <xdr:nvPicPr>
        <xdr:cNvPr id="9" name="Imagen 8">
          <a:extLst>
            <a:ext uri="{FF2B5EF4-FFF2-40B4-BE49-F238E27FC236}">
              <a16:creationId xmlns:a16="http://schemas.microsoft.com/office/drawing/2014/main" id="{75539C0B-DE9B-1A59-0510-0403036D977D}"/>
            </a:ext>
          </a:extLst>
        </xdr:cNvPr>
        <xdr:cNvPicPr>
          <a:picLocks noChangeAspect="1"/>
        </xdr:cNvPicPr>
      </xdr:nvPicPr>
      <xdr:blipFill>
        <a:blip xmlns:r="http://schemas.openxmlformats.org/officeDocument/2006/relationships" r:embed="rId4"/>
        <a:stretch>
          <a:fillRect/>
        </a:stretch>
      </xdr:blipFill>
      <xdr:spPr>
        <a:xfrm>
          <a:off x="676274" y="2095499"/>
          <a:ext cx="4755226" cy="2862000"/>
        </a:xfrm>
        <a:prstGeom prst="rect">
          <a:avLst/>
        </a:prstGeom>
      </xdr:spPr>
    </xdr:pic>
    <xdr:clientData/>
  </xdr:twoCellAnchor>
  <xdr:twoCellAnchor editAs="oneCell">
    <xdr:from>
      <xdr:col>8</xdr:col>
      <xdr:colOff>295275</xdr:colOff>
      <xdr:row>1</xdr:row>
      <xdr:rowOff>9525</xdr:rowOff>
    </xdr:from>
    <xdr:to>
      <xdr:col>14</xdr:col>
      <xdr:colOff>403275</xdr:colOff>
      <xdr:row>15</xdr:row>
      <xdr:rowOff>189059</xdr:rowOff>
    </xdr:to>
    <xdr:pic>
      <xdr:nvPicPr>
        <xdr:cNvPr id="10" name="Imagen 9">
          <a:extLst>
            <a:ext uri="{FF2B5EF4-FFF2-40B4-BE49-F238E27FC236}">
              <a16:creationId xmlns:a16="http://schemas.microsoft.com/office/drawing/2014/main" id="{6A0BF3B9-17E2-2ED7-0153-50122AF3540C}"/>
            </a:ext>
          </a:extLst>
        </xdr:cNvPr>
        <xdr:cNvPicPr>
          <a:picLocks noChangeAspect="1"/>
        </xdr:cNvPicPr>
      </xdr:nvPicPr>
      <xdr:blipFill>
        <a:blip xmlns:r="http://schemas.openxmlformats.org/officeDocument/2006/relationships" r:embed="rId5"/>
        <a:stretch>
          <a:fillRect/>
        </a:stretch>
      </xdr:blipFill>
      <xdr:spPr>
        <a:xfrm>
          <a:off x="6391275" y="2105025"/>
          <a:ext cx="4680000" cy="2846534"/>
        </a:xfrm>
        <a:prstGeom prst="rect">
          <a:avLst/>
        </a:prstGeom>
      </xdr:spPr>
    </xdr:pic>
    <xdr:clientData/>
  </xdr:twoCellAnchor>
  <xdr:twoCellAnchor editAs="oneCell">
    <xdr:from>
      <xdr:col>16</xdr:col>
      <xdr:colOff>76200</xdr:colOff>
      <xdr:row>1</xdr:row>
      <xdr:rowOff>0</xdr:rowOff>
    </xdr:from>
    <xdr:to>
      <xdr:col>22</xdr:col>
      <xdr:colOff>184200</xdr:colOff>
      <xdr:row>16</xdr:row>
      <xdr:rowOff>13894</xdr:rowOff>
    </xdr:to>
    <xdr:pic>
      <xdr:nvPicPr>
        <xdr:cNvPr id="11" name="Imagen 10">
          <a:extLst>
            <a:ext uri="{FF2B5EF4-FFF2-40B4-BE49-F238E27FC236}">
              <a16:creationId xmlns:a16="http://schemas.microsoft.com/office/drawing/2014/main" id="{17D51B40-5657-819B-DF46-DE033AF0F221}"/>
            </a:ext>
          </a:extLst>
        </xdr:cNvPr>
        <xdr:cNvPicPr>
          <a:picLocks noChangeAspect="1"/>
        </xdr:cNvPicPr>
      </xdr:nvPicPr>
      <xdr:blipFill>
        <a:blip xmlns:r="http://schemas.openxmlformats.org/officeDocument/2006/relationships" r:embed="rId6"/>
        <a:stretch>
          <a:fillRect/>
        </a:stretch>
      </xdr:blipFill>
      <xdr:spPr>
        <a:xfrm>
          <a:off x="12268200" y="2095500"/>
          <a:ext cx="4680000" cy="28713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523875</xdr:colOff>
      <xdr:row>0</xdr:row>
      <xdr:rowOff>161925</xdr:rowOff>
    </xdr:from>
    <xdr:to>
      <xdr:col>15</xdr:col>
      <xdr:colOff>548657</xdr:colOff>
      <xdr:row>15</xdr:row>
      <xdr:rowOff>96635</xdr:rowOff>
    </xdr:to>
    <xdr:pic>
      <xdr:nvPicPr>
        <xdr:cNvPr id="2" name="Imagen 1">
          <a:extLst>
            <a:ext uri="{FF2B5EF4-FFF2-40B4-BE49-F238E27FC236}">
              <a16:creationId xmlns:a16="http://schemas.microsoft.com/office/drawing/2014/main" id="{A19F22F7-E0E3-7534-5513-4FAEA19465D7}"/>
            </a:ext>
          </a:extLst>
        </xdr:cNvPr>
        <xdr:cNvPicPr>
          <a:picLocks noChangeAspect="1"/>
        </xdr:cNvPicPr>
      </xdr:nvPicPr>
      <xdr:blipFill>
        <a:blip xmlns:r="http://schemas.openxmlformats.org/officeDocument/2006/relationships" r:embed="rId1"/>
        <a:stretch>
          <a:fillRect/>
        </a:stretch>
      </xdr:blipFill>
      <xdr:spPr>
        <a:xfrm>
          <a:off x="1285875" y="161925"/>
          <a:ext cx="4596782" cy="2792210"/>
        </a:xfrm>
        <a:prstGeom prst="rect">
          <a:avLst/>
        </a:prstGeom>
      </xdr:spPr>
    </xdr:pic>
    <xdr:clientData/>
  </xdr:twoCellAnchor>
  <xdr:twoCellAnchor editAs="oneCell">
    <xdr:from>
      <xdr:col>9</xdr:col>
      <xdr:colOff>0</xdr:colOff>
      <xdr:row>17</xdr:row>
      <xdr:rowOff>0</xdr:rowOff>
    </xdr:from>
    <xdr:to>
      <xdr:col>16</xdr:col>
      <xdr:colOff>402833</xdr:colOff>
      <xdr:row>41</xdr:row>
      <xdr:rowOff>30879</xdr:rowOff>
    </xdr:to>
    <xdr:pic>
      <xdr:nvPicPr>
        <xdr:cNvPr id="3" name="Imagen 2">
          <a:extLst>
            <a:ext uri="{FF2B5EF4-FFF2-40B4-BE49-F238E27FC236}">
              <a16:creationId xmlns:a16="http://schemas.microsoft.com/office/drawing/2014/main" id="{A95F1D66-9E37-6D59-5607-7BB322468300}"/>
            </a:ext>
          </a:extLst>
        </xdr:cNvPr>
        <xdr:cNvPicPr>
          <a:picLocks noChangeAspect="1"/>
        </xdr:cNvPicPr>
      </xdr:nvPicPr>
      <xdr:blipFill>
        <a:blip xmlns:r="http://schemas.openxmlformats.org/officeDocument/2006/relationships" r:embed="rId2"/>
        <a:stretch>
          <a:fillRect/>
        </a:stretch>
      </xdr:blipFill>
      <xdr:spPr>
        <a:xfrm>
          <a:off x="762000" y="3238500"/>
          <a:ext cx="5736833" cy="4602879"/>
        </a:xfrm>
        <a:prstGeom prst="rect">
          <a:avLst/>
        </a:prstGeom>
      </xdr:spPr>
    </xdr:pic>
    <xdr:clientData/>
  </xdr:twoCellAnchor>
  <xdr:twoCellAnchor editAs="oneCell">
    <xdr:from>
      <xdr:col>2</xdr:col>
      <xdr:colOff>0</xdr:colOff>
      <xdr:row>1</xdr:row>
      <xdr:rowOff>0</xdr:rowOff>
    </xdr:from>
    <xdr:to>
      <xdr:col>8</xdr:col>
      <xdr:colOff>18686</xdr:colOff>
      <xdr:row>15</xdr:row>
      <xdr:rowOff>125210</xdr:rowOff>
    </xdr:to>
    <xdr:pic>
      <xdr:nvPicPr>
        <xdr:cNvPr id="5" name="Imagen 4">
          <a:extLst>
            <a:ext uri="{FF2B5EF4-FFF2-40B4-BE49-F238E27FC236}">
              <a16:creationId xmlns:a16="http://schemas.microsoft.com/office/drawing/2014/main" id="{2E025FDE-5C1A-A4C4-61CA-1427E1324875}"/>
            </a:ext>
          </a:extLst>
        </xdr:cNvPr>
        <xdr:cNvPicPr>
          <a:picLocks noChangeAspect="1"/>
        </xdr:cNvPicPr>
      </xdr:nvPicPr>
      <xdr:blipFill>
        <a:blip xmlns:r="http://schemas.openxmlformats.org/officeDocument/2006/relationships" r:embed="rId3"/>
        <a:stretch>
          <a:fillRect/>
        </a:stretch>
      </xdr:blipFill>
      <xdr:spPr>
        <a:xfrm>
          <a:off x="1524000" y="190500"/>
          <a:ext cx="4590686" cy="2792210"/>
        </a:xfrm>
        <a:prstGeom prst="rect">
          <a:avLst/>
        </a:prstGeom>
      </xdr:spPr>
    </xdr:pic>
    <xdr:clientData/>
  </xdr:twoCellAnchor>
  <xdr:twoCellAnchor editAs="oneCell">
    <xdr:from>
      <xdr:col>1</xdr:col>
      <xdr:colOff>0</xdr:colOff>
      <xdr:row>17</xdr:row>
      <xdr:rowOff>0</xdr:rowOff>
    </xdr:from>
    <xdr:to>
      <xdr:col>8</xdr:col>
      <xdr:colOff>402833</xdr:colOff>
      <xdr:row>41</xdr:row>
      <xdr:rowOff>30879</xdr:rowOff>
    </xdr:to>
    <xdr:pic>
      <xdr:nvPicPr>
        <xdr:cNvPr id="6" name="Imagen 5">
          <a:extLst>
            <a:ext uri="{FF2B5EF4-FFF2-40B4-BE49-F238E27FC236}">
              <a16:creationId xmlns:a16="http://schemas.microsoft.com/office/drawing/2014/main" id="{A5E35DC0-A2CA-6D5A-D999-CDB7F0E0EB93}"/>
            </a:ext>
          </a:extLst>
        </xdr:cNvPr>
        <xdr:cNvPicPr>
          <a:picLocks noChangeAspect="1"/>
        </xdr:cNvPicPr>
      </xdr:nvPicPr>
      <xdr:blipFill>
        <a:blip xmlns:r="http://schemas.openxmlformats.org/officeDocument/2006/relationships" r:embed="rId4"/>
        <a:stretch>
          <a:fillRect/>
        </a:stretch>
      </xdr:blipFill>
      <xdr:spPr>
        <a:xfrm>
          <a:off x="762000" y="3238500"/>
          <a:ext cx="5736833" cy="460287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7</xdr:col>
      <xdr:colOff>12589</xdr:colOff>
      <xdr:row>15</xdr:row>
      <xdr:rowOff>88631</xdr:rowOff>
    </xdr:to>
    <xdr:pic>
      <xdr:nvPicPr>
        <xdr:cNvPr id="2" name="Imagen 1">
          <a:extLst>
            <a:ext uri="{FF2B5EF4-FFF2-40B4-BE49-F238E27FC236}">
              <a16:creationId xmlns:a16="http://schemas.microsoft.com/office/drawing/2014/main" id="{03B79CE7-6764-370B-164A-888A26A9756D}"/>
            </a:ext>
          </a:extLst>
        </xdr:cNvPr>
        <xdr:cNvPicPr>
          <a:picLocks noChangeAspect="1"/>
        </xdr:cNvPicPr>
      </xdr:nvPicPr>
      <xdr:blipFill>
        <a:blip xmlns:r="http://schemas.openxmlformats.org/officeDocument/2006/relationships" r:embed="rId1"/>
        <a:stretch>
          <a:fillRect/>
        </a:stretch>
      </xdr:blipFill>
      <xdr:spPr>
        <a:xfrm>
          <a:off x="762000" y="190500"/>
          <a:ext cx="4584589" cy="2755631"/>
        </a:xfrm>
        <a:prstGeom prst="rect">
          <a:avLst/>
        </a:prstGeom>
      </xdr:spPr>
    </xdr:pic>
    <xdr:clientData/>
  </xdr:twoCellAnchor>
  <xdr:twoCellAnchor editAs="oneCell">
    <xdr:from>
      <xdr:col>8</xdr:col>
      <xdr:colOff>0</xdr:colOff>
      <xdr:row>1</xdr:row>
      <xdr:rowOff>0</xdr:rowOff>
    </xdr:from>
    <xdr:to>
      <xdr:col>14</xdr:col>
      <xdr:colOff>12589</xdr:colOff>
      <xdr:row>15</xdr:row>
      <xdr:rowOff>94727</xdr:rowOff>
    </xdr:to>
    <xdr:pic>
      <xdr:nvPicPr>
        <xdr:cNvPr id="3" name="Imagen 2">
          <a:extLst>
            <a:ext uri="{FF2B5EF4-FFF2-40B4-BE49-F238E27FC236}">
              <a16:creationId xmlns:a16="http://schemas.microsoft.com/office/drawing/2014/main" id="{FB4AA4E4-47E6-8C7E-DBCB-B028AC598B64}"/>
            </a:ext>
          </a:extLst>
        </xdr:cNvPr>
        <xdr:cNvPicPr>
          <a:picLocks noChangeAspect="1"/>
        </xdr:cNvPicPr>
      </xdr:nvPicPr>
      <xdr:blipFill>
        <a:blip xmlns:r="http://schemas.openxmlformats.org/officeDocument/2006/relationships" r:embed="rId2"/>
        <a:stretch>
          <a:fillRect/>
        </a:stretch>
      </xdr:blipFill>
      <xdr:spPr>
        <a:xfrm>
          <a:off x="6096000" y="190500"/>
          <a:ext cx="4584589" cy="2761727"/>
        </a:xfrm>
        <a:prstGeom prst="rect">
          <a:avLst/>
        </a:prstGeom>
      </xdr:spPr>
    </xdr:pic>
    <xdr:clientData/>
  </xdr:twoCellAnchor>
  <xdr:twoCellAnchor editAs="oneCell">
    <xdr:from>
      <xdr:col>15</xdr:col>
      <xdr:colOff>0</xdr:colOff>
      <xdr:row>1</xdr:row>
      <xdr:rowOff>0</xdr:rowOff>
    </xdr:from>
    <xdr:to>
      <xdr:col>21</xdr:col>
      <xdr:colOff>12589</xdr:colOff>
      <xdr:row>15</xdr:row>
      <xdr:rowOff>88631</xdr:rowOff>
    </xdr:to>
    <xdr:pic>
      <xdr:nvPicPr>
        <xdr:cNvPr id="4" name="Imagen 3">
          <a:extLst>
            <a:ext uri="{FF2B5EF4-FFF2-40B4-BE49-F238E27FC236}">
              <a16:creationId xmlns:a16="http://schemas.microsoft.com/office/drawing/2014/main" id="{821B774A-DCE7-3D2E-F053-C89EDFBB1DC9}"/>
            </a:ext>
          </a:extLst>
        </xdr:cNvPr>
        <xdr:cNvPicPr>
          <a:picLocks noChangeAspect="1"/>
        </xdr:cNvPicPr>
      </xdr:nvPicPr>
      <xdr:blipFill>
        <a:blip xmlns:r="http://schemas.openxmlformats.org/officeDocument/2006/relationships" r:embed="rId3"/>
        <a:stretch>
          <a:fillRect/>
        </a:stretch>
      </xdr:blipFill>
      <xdr:spPr>
        <a:xfrm>
          <a:off x="11430000" y="190500"/>
          <a:ext cx="4584589" cy="27556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40</xdr:row>
      <xdr:rowOff>0</xdr:rowOff>
    </xdr:from>
    <xdr:ext cx="4584589" cy="2755631"/>
    <xdr:pic>
      <xdr:nvPicPr>
        <xdr:cNvPr id="2" name="Imagen 1">
          <a:extLst>
            <a:ext uri="{FF2B5EF4-FFF2-40B4-BE49-F238E27FC236}">
              <a16:creationId xmlns:a16="http://schemas.microsoft.com/office/drawing/2014/main" id="{B5198F95-56AD-4DA4-A3AC-726B63B4F261}"/>
            </a:ext>
          </a:extLst>
        </xdr:cNvPr>
        <xdr:cNvPicPr>
          <a:picLocks noChangeAspect="1"/>
        </xdr:cNvPicPr>
      </xdr:nvPicPr>
      <xdr:blipFill>
        <a:blip xmlns:r="http://schemas.openxmlformats.org/officeDocument/2006/relationships" r:embed="rId1"/>
        <a:stretch>
          <a:fillRect/>
        </a:stretch>
      </xdr:blipFill>
      <xdr:spPr>
        <a:xfrm>
          <a:off x="3352800" y="7762875"/>
          <a:ext cx="4584589" cy="2755631"/>
        </a:xfrm>
        <a:prstGeom prst="rect">
          <a:avLst/>
        </a:prstGeom>
      </xdr:spPr>
    </xdr:pic>
    <xdr:clientData/>
  </xdr:oneCellAnchor>
  <xdr:oneCellAnchor>
    <xdr:from>
      <xdr:col>9</xdr:col>
      <xdr:colOff>219075</xdr:colOff>
      <xdr:row>40</xdr:row>
      <xdr:rowOff>19050</xdr:rowOff>
    </xdr:from>
    <xdr:ext cx="5755123" cy="4340728"/>
    <xdr:pic>
      <xdr:nvPicPr>
        <xdr:cNvPr id="3" name="Imagen 2">
          <a:extLst>
            <a:ext uri="{FF2B5EF4-FFF2-40B4-BE49-F238E27FC236}">
              <a16:creationId xmlns:a16="http://schemas.microsoft.com/office/drawing/2014/main" id="{7E03F1D6-64D1-4AD1-BB4E-25F62F8B6E56}"/>
            </a:ext>
          </a:extLst>
        </xdr:cNvPr>
        <xdr:cNvPicPr>
          <a:picLocks noChangeAspect="1"/>
        </xdr:cNvPicPr>
      </xdr:nvPicPr>
      <xdr:blipFill>
        <a:blip xmlns:r="http://schemas.openxmlformats.org/officeDocument/2006/relationships" r:embed="rId2"/>
        <a:stretch>
          <a:fillRect/>
        </a:stretch>
      </xdr:blipFill>
      <xdr:spPr>
        <a:xfrm>
          <a:off x="9839325" y="7781925"/>
          <a:ext cx="5755123" cy="4340728"/>
        </a:xfrm>
        <a:prstGeom prst="rect">
          <a:avLst/>
        </a:prstGeom>
      </xdr:spPr>
    </xdr:pic>
    <xdr:clientData/>
  </xdr:oneCellAnchor>
  <xdr:oneCellAnchor>
    <xdr:from>
      <xdr:col>17</xdr:col>
      <xdr:colOff>0</xdr:colOff>
      <xdr:row>40</xdr:row>
      <xdr:rowOff>0</xdr:rowOff>
    </xdr:from>
    <xdr:ext cx="5749026" cy="4340728"/>
    <xdr:pic>
      <xdr:nvPicPr>
        <xdr:cNvPr id="4" name="Imagen 3">
          <a:extLst>
            <a:ext uri="{FF2B5EF4-FFF2-40B4-BE49-F238E27FC236}">
              <a16:creationId xmlns:a16="http://schemas.microsoft.com/office/drawing/2014/main" id="{277FC2AC-378A-4C59-8F05-03F6CA83DEDF}"/>
            </a:ext>
          </a:extLst>
        </xdr:cNvPr>
        <xdr:cNvPicPr>
          <a:picLocks noChangeAspect="1"/>
        </xdr:cNvPicPr>
      </xdr:nvPicPr>
      <xdr:blipFill>
        <a:blip xmlns:r="http://schemas.openxmlformats.org/officeDocument/2006/relationships" r:embed="rId3"/>
        <a:stretch>
          <a:fillRect/>
        </a:stretch>
      </xdr:blipFill>
      <xdr:spPr>
        <a:xfrm>
          <a:off x="17468850" y="7762875"/>
          <a:ext cx="5749026" cy="4340728"/>
        </a:xfrm>
        <a:prstGeom prst="rect">
          <a:avLst/>
        </a:prstGeom>
      </xdr:spPr>
    </xdr:pic>
    <xdr:clientData/>
  </xdr:oneCellAnchor>
  <xdr:oneCellAnchor>
    <xdr:from>
      <xdr:col>9</xdr:col>
      <xdr:colOff>0</xdr:colOff>
      <xdr:row>65</xdr:row>
      <xdr:rowOff>0</xdr:rowOff>
    </xdr:from>
    <xdr:ext cx="4584589" cy="2755631"/>
    <xdr:pic>
      <xdr:nvPicPr>
        <xdr:cNvPr id="5" name="Imagen 4">
          <a:extLst>
            <a:ext uri="{FF2B5EF4-FFF2-40B4-BE49-F238E27FC236}">
              <a16:creationId xmlns:a16="http://schemas.microsoft.com/office/drawing/2014/main" id="{53044FF3-BE09-4422-AE61-3730041E19A4}"/>
            </a:ext>
          </a:extLst>
        </xdr:cNvPr>
        <xdr:cNvPicPr>
          <a:picLocks noChangeAspect="1"/>
        </xdr:cNvPicPr>
      </xdr:nvPicPr>
      <xdr:blipFill>
        <a:blip xmlns:r="http://schemas.openxmlformats.org/officeDocument/2006/relationships" r:embed="rId4"/>
        <a:stretch>
          <a:fillRect/>
        </a:stretch>
      </xdr:blipFill>
      <xdr:spPr>
        <a:xfrm>
          <a:off x="9620250" y="12525375"/>
          <a:ext cx="4584589" cy="2755631"/>
        </a:xfrm>
        <a:prstGeom prst="rect">
          <a:avLst/>
        </a:prstGeom>
      </xdr:spPr>
    </xdr:pic>
    <xdr:clientData/>
  </xdr:oneCellAnchor>
  <xdr:oneCellAnchor>
    <xdr:from>
      <xdr:col>16</xdr:col>
      <xdr:colOff>0</xdr:colOff>
      <xdr:row>65</xdr:row>
      <xdr:rowOff>0</xdr:rowOff>
    </xdr:from>
    <xdr:ext cx="4584589" cy="2761727"/>
    <xdr:pic>
      <xdr:nvPicPr>
        <xdr:cNvPr id="6" name="Imagen 5">
          <a:extLst>
            <a:ext uri="{FF2B5EF4-FFF2-40B4-BE49-F238E27FC236}">
              <a16:creationId xmlns:a16="http://schemas.microsoft.com/office/drawing/2014/main" id="{783C15EC-1F62-4D99-9DEC-E528DFC87E3F}"/>
            </a:ext>
          </a:extLst>
        </xdr:cNvPr>
        <xdr:cNvPicPr>
          <a:picLocks noChangeAspect="1"/>
        </xdr:cNvPicPr>
      </xdr:nvPicPr>
      <xdr:blipFill>
        <a:blip xmlns:r="http://schemas.openxmlformats.org/officeDocument/2006/relationships" r:embed="rId5"/>
        <a:stretch>
          <a:fillRect/>
        </a:stretch>
      </xdr:blipFill>
      <xdr:spPr>
        <a:xfrm>
          <a:off x="16487775" y="12525375"/>
          <a:ext cx="4584589" cy="2761727"/>
        </a:xfrm>
        <a:prstGeom prst="rect">
          <a:avLst/>
        </a:prstGeom>
      </xdr:spPr>
    </xdr:pic>
    <xdr:clientData/>
  </xdr:oneCellAnchor>
  <xdr:oneCellAnchor>
    <xdr:from>
      <xdr:col>22</xdr:col>
      <xdr:colOff>142875</xdr:colOff>
      <xdr:row>65</xdr:row>
      <xdr:rowOff>0</xdr:rowOff>
    </xdr:from>
    <xdr:ext cx="4584589" cy="2755631"/>
    <xdr:pic>
      <xdr:nvPicPr>
        <xdr:cNvPr id="7" name="Imagen 6">
          <a:extLst>
            <a:ext uri="{FF2B5EF4-FFF2-40B4-BE49-F238E27FC236}">
              <a16:creationId xmlns:a16="http://schemas.microsoft.com/office/drawing/2014/main" id="{08ED3F4E-A15C-40B4-9676-77AEB3F4B803}"/>
            </a:ext>
          </a:extLst>
        </xdr:cNvPr>
        <xdr:cNvPicPr>
          <a:picLocks noChangeAspect="1"/>
        </xdr:cNvPicPr>
      </xdr:nvPicPr>
      <xdr:blipFill>
        <a:blip xmlns:r="http://schemas.openxmlformats.org/officeDocument/2006/relationships" r:embed="rId6"/>
        <a:stretch>
          <a:fillRect/>
        </a:stretch>
      </xdr:blipFill>
      <xdr:spPr>
        <a:xfrm>
          <a:off x="22517100" y="12525375"/>
          <a:ext cx="4584589" cy="2755631"/>
        </a:xfrm>
        <a:prstGeom prst="rect">
          <a:avLst/>
        </a:prstGeom>
      </xdr:spPr>
    </xdr:pic>
    <xdr:clientData/>
  </xdr:oneCellAnchor>
  <xdr:oneCellAnchor>
    <xdr:from>
      <xdr:col>19</xdr:col>
      <xdr:colOff>0</xdr:colOff>
      <xdr:row>81</xdr:row>
      <xdr:rowOff>0</xdr:rowOff>
    </xdr:from>
    <xdr:ext cx="5736833" cy="4602879"/>
    <xdr:pic>
      <xdr:nvPicPr>
        <xdr:cNvPr id="8" name="Imagen 7">
          <a:extLst>
            <a:ext uri="{FF2B5EF4-FFF2-40B4-BE49-F238E27FC236}">
              <a16:creationId xmlns:a16="http://schemas.microsoft.com/office/drawing/2014/main" id="{79F38FDE-617A-433F-9B7A-97C7C366F905}"/>
            </a:ext>
          </a:extLst>
        </xdr:cNvPr>
        <xdr:cNvPicPr>
          <a:picLocks noChangeAspect="1"/>
        </xdr:cNvPicPr>
      </xdr:nvPicPr>
      <xdr:blipFill>
        <a:blip xmlns:r="http://schemas.openxmlformats.org/officeDocument/2006/relationships" r:embed="rId7"/>
        <a:stretch>
          <a:fillRect/>
        </a:stretch>
      </xdr:blipFill>
      <xdr:spPr>
        <a:xfrm>
          <a:off x="19431000" y="15573375"/>
          <a:ext cx="5736833" cy="4602879"/>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FAC7-EC77-4E0B-8945-A030C8E596EF}">
  <dimension ref="B2:B15"/>
  <sheetViews>
    <sheetView tabSelected="1" workbookViewId="0">
      <selection activeCell="G39" sqref="G39"/>
    </sheetView>
  </sheetViews>
  <sheetFormatPr baseColWidth="10" defaultRowHeight="15" x14ac:dyDescent="0.25"/>
  <cols>
    <col min="254" max="254" width="30.140625" customWidth="1"/>
    <col min="255" max="255" width="2.140625" customWidth="1"/>
    <col min="256" max="256" width="49.140625" bestFit="1" customWidth="1"/>
    <col min="510" max="510" width="30.140625" customWidth="1"/>
    <col min="511" max="511" width="2.140625" customWidth="1"/>
    <col min="512" max="512" width="49.140625" bestFit="1" customWidth="1"/>
    <col min="766" max="766" width="30.140625" customWidth="1"/>
    <col min="767" max="767" width="2.140625" customWidth="1"/>
    <col min="768" max="768" width="49.140625" bestFit="1" customWidth="1"/>
    <col min="1022" max="1022" width="30.140625" customWidth="1"/>
    <col min="1023" max="1023" width="2.140625" customWidth="1"/>
    <col min="1024" max="1024" width="49.140625" bestFit="1" customWidth="1"/>
    <col min="1278" max="1278" width="30.140625" customWidth="1"/>
    <col min="1279" max="1279" width="2.140625" customWidth="1"/>
    <col min="1280" max="1280" width="49.140625" bestFit="1" customWidth="1"/>
    <col min="1534" max="1534" width="30.140625" customWidth="1"/>
    <col min="1535" max="1535" width="2.140625" customWidth="1"/>
    <col min="1536" max="1536" width="49.140625" bestFit="1" customWidth="1"/>
    <col min="1790" max="1790" width="30.140625" customWidth="1"/>
    <col min="1791" max="1791" width="2.140625" customWidth="1"/>
    <col min="1792" max="1792" width="49.140625" bestFit="1" customWidth="1"/>
    <col min="2046" max="2046" width="30.140625" customWidth="1"/>
    <col min="2047" max="2047" width="2.140625" customWidth="1"/>
    <col min="2048" max="2048" width="49.140625" bestFit="1" customWidth="1"/>
    <col min="2302" max="2302" width="30.140625" customWidth="1"/>
    <col min="2303" max="2303" width="2.140625" customWidth="1"/>
    <col min="2304" max="2304" width="49.140625" bestFit="1" customWidth="1"/>
    <col min="2558" max="2558" width="30.140625" customWidth="1"/>
    <col min="2559" max="2559" width="2.140625" customWidth="1"/>
    <col min="2560" max="2560" width="49.140625" bestFit="1" customWidth="1"/>
    <col min="2814" max="2814" width="30.140625" customWidth="1"/>
    <col min="2815" max="2815" width="2.140625" customWidth="1"/>
    <col min="2816" max="2816" width="49.140625" bestFit="1" customWidth="1"/>
    <col min="3070" max="3070" width="30.140625" customWidth="1"/>
    <col min="3071" max="3071" width="2.140625" customWidth="1"/>
    <col min="3072" max="3072" width="49.140625" bestFit="1" customWidth="1"/>
    <col min="3326" max="3326" width="30.140625" customWidth="1"/>
    <col min="3327" max="3327" width="2.140625" customWidth="1"/>
    <col min="3328" max="3328" width="49.140625" bestFit="1" customWidth="1"/>
    <col min="3582" max="3582" width="30.140625" customWidth="1"/>
    <col min="3583" max="3583" width="2.140625" customWidth="1"/>
    <col min="3584" max="3584" width="49.140625" bestFit="1" customWidth="1"/>
    <col min="3838" max="3838" width="30.140625" customWidth="1"/>
    <col min="3839" max="3839" width="2.140625" customWidth="1"/>
    <col min="3840" max="3840" width="49.140625" bestFit="1" customWidth="1"/>
    <col min="4094" max="4094" width="30.140625" customWidth="1"/>
    <col min="4095" max="4095" width="2.140625" customWidth="1"/>
    <col min="4096" max="4096" width="49.140625" bestFit="1" customWidth="1"/>
    <col min="4350" max="4350" width="30.140625" customWidth="1"/>
    <col min="4351" max="4351" width="2.140625" customWidth="1"/>
    <col min="4352" max="4352" width="49.140625" bestFit="1" customWidth="1"/>
    <col min="4606" max="4606" width="30.140625" customWidth="1"/>
    <col min="4607" max="4607" width="2.140625" customWidth="1"/>
    <col min="4608" max="4608" width="49.140625" bestFit="1" customWidth="1"/>
    <col min="4862" max="4862" width="30.140625" customWidth="1"/>
    <col min="4863" max="4863" width="2.140625" customWidth="1"/>
    <col min="4864" max="4864" width="49.140625" bestFit="1" customWidth="1"/>
    <col min="5118" max="5118" width="30.140625" customWidth="1"/>
    <col min="5119" max="5119" width="2.140625" customWidth="1"/>
    <col min="5120" max="5120" width="49.140625" bestFit="1" customWidth="1"/>
    <col min="5374" max="5374" width="30.140625" customWidth="1"/>
    <col min="5375" max="5375" width="2.140625" customWidth="1"/>
    <col min="5376" max="5376" width="49.140625" bestFit="1" customWidth="1"/>
    <col min="5630" max="5630" width="30.140625" customWidth="1"/>
    <col min="5631" max="5631" width="2.140625" customWidth="1"/>
    <col min="5632" max="5632" width="49.140625" bestFit="1" customWidth="1"/>
    <col min="5886" max="5886" width="30.140625" customWidth="1"/>
    <col min="5887" max="5887" width="2.140625" customWidth="1"/>
    <col min="5888" max="5888" width="49.140625" bestFit="1" customWidth="1"/>
    <col min="6142" max="6142" width="30.140625" customWidth="1"/>
    <col min="6143" max="6143" width="2.140625" customWidth="1"/>
    <col min="6144" max="6144" width="49.140625" bestFit="1" customWidth="1"/>
    <col min="6398" max="6398" width="30.140625" customWidth="1"/>
    <col min="6399" max="6399" width="2.140625" customWidth="1"/>
    <col min="6400" max="6400" width="49.140625" bestFit="1" customWidth="1"/>
    <col min="6654" max="6654" width="30.140625" customWidth="1"/>
    <col min="6655" max="6655" width="2.140625" customWidth="1"/>
    <col min="6656" max="6656" width="49.140625" bestFit="1" customWidth="1"/>
    <col min="6910" max="6910" width="30.140625" customWidth="1"/>
    <col min="6911" max="6911" width="2.140625" customWidth="1"/>
    <col min="6912" max="6912" width="49.140625" bestFit="1" customWidth="1"/>
    <col min="7166" max="7166" width="30.140625" customWidth="1"/>
    <col min="7167" max="7167" width="2.140625" customWidth="1"/>
    <col min="7168" max="7168" width="49.140625" bestFit="1" customWidth="1"/>
    <col min="7422" max="7422" width="30.140625" customWidth="1"/>
    <col min="7423" max="7423" width="2.140625" customWidth="1"/>
    <col min="7424" max="7424" width="49.140625" bestFit="1" customWidth="1"/>
    <col min="7678" max="7678" width="30.140625" customWidth="1"/>
    <col min="7679" max="7679" width="2.140625" customWidth="1"/>
    <col min="7680" max="7680" width="49.140625" bestFit="1" customWidth="1"/>
    <col min="7934" max="7934" width="30.140625" customWidth="1"/>
    <col min="7935" max="7935" width="2.140625" customWidth="1"/>
    <col min="7936" max="7936" width="49.140625" bestFit="1" customWidth="1"/>
    <col min="8190" max="8190" width="30.140625" customWidth="1"/>
    <col min="8191" max="8191" width="2.140625" customWidth="1"/>
    <col min="8192" max="8192" width="49.140625" bestFit="1" customWidth="1"/>
    <col min="8446" max="8446" width="30.140625" customWidth="1"/>
    <col min="8447" max="8447" width="2.140625" customWidth="1"/>
    <col min="8448" max="8448" width="49.140625" bestFit="1" customWidth="1"/>
    <col min="8702" max="8702" width="30.140625" customWidth="1"/>
    <col min="8703" max="8703" width="2.140625" customWidth="1"/>
    <col min="8704" max="8704" width="49.140625" bestFit="1" customWidth="1"/>
    <col min="8958" max="8958" width="30.140625" customWidth="1"/>
    <col min="8959" max="8959" width="2.140625" customWidth="1"/>
    <col min="8960" max="8960" width="49.140625" bestFit="1" customWidth="1"/>
    <col min="9214" max="9214" width="30.140625" customWidth="1"/>
    <col min="9215" max="9215" width="2.140625" customWidth="1"/>
    <col min="9216" max="9216" width="49.140625" bestFit="1" customWidth="1"/>
    <col min="9470" max="9470" width="30.140625" customWidth="1"/>
    <col min="9471" max="9471" width="2.140625" customWidth="1"/>
    <col min="9472" max="9472" width="49.140625" bestFit="1" customWidth="1"/>
    <col min="9726" max="9726" width="30.140625" customWidth="1"/>
    <col min="9727" max="9727" width="2.140625" customWidth="1"/>
    <col min="9728" max="9728" width="49.140625" bestFit="1" customWidth="1"/>
    <col min="9982" max="9982" width="30.140625" customWidth="1"/>
    <col min="9983" max="9983" width="2.140625" customWidth="1"/>
    <col min="9984" max="9984" width="49.140625" bestFit="1" customWidth="1"/>
    <col min="10238" max="10238" width="30.140625" customWidth="1"/>
    <col min="10239" max="10239" width="2.140625" customWidth="1"/>
    <col min="10240" max="10240" width="49.140625" bestFit="1" customWidth="1"/>
    <col min="10494" max="10494" width="30.140625" customWidth="1"/>
    <col min="10495" max="10495" width="2.140625" customWidth="1"/>
    <col min="10496" max="10496" width="49.140625" bestFit="1" customWidth="1"/>
    <col min="10750" max="10750" width="30.140625" customWidth="1"/>
    <col min="10751" max="10751" width="2.140625" customWidth="1"/>
    <col min="10752" max="10752" width="49.140625" bestFit="1" customWidth="1"/>
    <col min="11006" max="11006" width="30.140625" customWidth="1"/>
    <col min="11007" max="11007" width="2.140625" customWidth="1"/>
    <col min="11008" max="11008" width="49.140625" bestFit="1" customWidth="1"/>
    <col min="11262" max="11262" width="30.140625" customWidth="1"/>
    <col min="11263" max="11263" width="2.140625" customWidth="1"/>
    <col min="11264" max="11264" width="49.140625" bestFit="1" customWidth="1"/>
    <col min="11518" max="11518" width="30.140625" customWidth="1"/>
    <col min="11519" max="11519" width="2.140625" customWidth="1"/>
    <col min="11520" max="11520" width="49.140625" bestFit="1" customWidth="1"/>
    <col min="11774" max="11774" width="30.140625" customWidth="1"/>
    <col min="11775" max="11775" width="2.140625" customWidth="1"/>
    <col min="11776" max="11776" width="49.140625" bestFit="1" customWidth="1"/>
    <col min="12030" max="12030" width="30.140625" customWidth="1"/>
    <col min="12031" max="12031" width="2.140625" customWidth="1"/>
    <col min="12032" max="12032" width="49.140625" bestFit="1" customWidth="1"/>
    <col min="12286" max="12286" width="30.140625" customWidth="1"/>
    <col min="12287" max="12287" width="2.140625" customWidth="1"/>
    <col min="12288" max="12288" width="49.140625" bestFit="1" customWidth="1"/>
    <col min="12542" max="12542" width="30.140625" customWidth="1"/>
    <col min="12543" max="12543" width="2.140625" customWidth="1"/>
    <col min="12544" max="12544" width="49.140625" bestFit="1" customWidth="1"/>
    <col min="12798" max="12798" width="30.140625" customWidth="1"/>
    <col min="12799" max="12799" width="2.140625" customWidth="1"/>
    <col min="12800" max="12800" width="49.140625" bestFit="1" customWidth="1"/>
    <col min="13054" max="13054" width="30.140625" customWidth="1"/>
    <col min="13055" max="13055" width="2.140625" customWidth="1"/>
    <col min="13056" max="13056" width="49.140625" bestFit="1" customWidth="1"/>
    <col min="13310" max="13310" width="30.140625" customWidth="1"/>
    <col min="13311" max="13311" width="2.140625" customWidth="1"/>
    <col min="13312" max="13312" width="49.140625" bestFit="1" customWidth="1"/>
    <col min="13566" max="13566" width="30.140625" customWidth="1"/>
    <col min="13567" max="13567" width="2.140625" customWidth="1"/>
    <col min="13568" max="13568" width="49.140625" bestFit="1" customWidth="1"/>
    <col min="13822" max="13822" width="30.140625" customWidth="1"/>
    <col min="13823" max="13823" width="2.140625" customWidth="1"/>
    <col min="13824" max="13824" width="49.140625" bestFit="1" customWidth="1"/>
    <col min="14078" max="14078" width="30.140625" customWidth="1"/>
    <col min="14079" max="14079" width="2.140625" customWidth="1"/>
    <col min="14080" max="14080" width="49.140625" bestFit="1" customWidth="1"/>
    <col min="14334" max="14334" width="30.140625" customWidth="1"/>
    <col min="14335" max="14335" width="2.140625" customWidth="1"/>
    <col min="14336" max="14336" width="49.140625" bestFit="1" customWidth="1"/>
    <col min="14590" max="14590" width="30.140625" customWidth="1"/>
    <col min="14591" max="14591" width="2.140625" customWidth="1"/>
    <col min="14592" max="14592" width="49.140625" bestFit="1" customWidth="1"/>
    <col min="14846" max="14846" width="30.140625" customWidth="1"/>
    <col min="14847" max="14847" width="2.140625" customWidth="1"/>
    <col min="14848" max="14848" width="49.140625" bestFit="1" customWidth="1"/>
    <col min="15102" max="15102" width="30.140625" customWidth="1"/>
    <col min="15103" max="15103" width="2.140625" customWidth="1"/>
    <col min="15104" max="15104" width="49.140625" bestFit="1" customWidth="1"/>
    <col min="15358" max="15358" width="30.140625" customWidth="1"/>
    <col min="15359" max="15359" width="2.140625" customWidth="1"/>
    <col min="15360" max="15360" width="49.140625" bestFit="1" customWidth="1"/>
    <col min="15614" max="15614" width="30.140625" customWidth="1"/>
    <col min="15615" max="15615" width="2.140625" customWidth="1"/>
    <col min="15616" max="15616" width="49.140625" bestFit="1" customWidth="1"/>
    <col min="15870" max="15870" width="30.140625" customWidth="1"/>
    <col min="15871" max="15871" width="2.140625" customWidth="1"/>
    <col min="15872" max="15872" width="49.140625" bestFit="1" customWidth="1"/>
    <col min="16126" max="16126" width="30.140625" customWidth="1"/>
    <col min="16127" max="16127" width="2.140625" customWidth="1"/>
    <col min="16128" max="16128" width="49.140625" bestFit="1" customWidth="1"/>
  </cols>
  <sheetData>
    <row r="2" spans="2:2" ht="20.100000000000001" customHeight="1" x14ac:dyDescent="0.25"/>
    <row r="3" spans="2:2" ht="20.100000000000001" customHeight="1" x14ac:dyDescent="0.25"/>
    <row r="8" spans="2:2" ht="8.1" customHeight="1" x14ac:dyDescent="0.25"/>
    <row r="14" spans="2:2" ht="8.1" customHeight="1" x14ac:dyDescent="0.25">
      <c r="B14" s="58"/>
    </row>
    <row r="15" spans="2:2" x14ac:dyDescent="0.25">
      <c r="B15" s="5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06BF-F8FF-4FC6-BC6E-7C6DF699EBF5}">
  <dimension ref="B2:Q14"/>
  <sheetViews>
    <sheetView workbookViewId="0">
      <selection activeCell="N14" sqref="N14"/>
    </sheetView>
  </sheetViews>
  <sheetFormatPr baseColWidth="10" defaultRowHeight="15" x14ac:dyDescent="0.25"/>
  <cols>
    <col min="14" max="14" width="17.5703125" customWidth="1"/>
    <col min="15" max="15" width="21.28515625" customWidth="1"/>
    <col min="16" max="16" width="20.42578125" customWidth="1"/>
    <col min="17" max="17" width="36.7109375" customWidth="1"/>
    <col min="18" max="37" width="14.7109375" customWidth="1"/>
    <col min="38" max="39" width="20.7109375" customWidth="1"/>
  </cols>
  <sheetData>
    <row r="2" spans="2:17" x14ac:dyDescent="0.25">
      <c r="B2" s="56" t="s">
        <v>87</v>
      </c>
      <c r="N2" s="56" t="s">
        <v>85</v>
      </c>
    </row>
    <row r="3" spans="2:17" ht="15.75" thickBot="1" x14ac:dyDescent="0.3">
      <c r="B3" s="56" t="s">
        <v>84</v>
      </c>
    </row>
    <row r="4" spans="2:17" ht="15.75" thickBot="1" x14ac:dyDescent="0.3">
      <c r="N4" s="38" t="s">
        <v>75</v>
      </c>
      <c r="O4" s="49" t="s">
        <v>74</v>
      </c>
      <c r="P4" s="50" t="s">
        <v>73</v>
      </c>
      <c r="Q4" s="51" t="s">
        <v>86</v>
      </c>
    </row>
    <row r="5" spans="2:17" x14ac:dyDescent="0.25">
      <c r="N5" s="52" t="s">
        <v>50</v>
      </c>
      <c r="O5" s="29" t="s">
        <v>28</v>
      </c>
      <c r="P5" s="46" t="s">
        <v>49</v>
      </c>
      <c r="Q5" s="53" t="s">
        <v>78</v>
      </c>
    </row>
    <row r="6" spans="2:17" x14ac:dyDescent="0.25">
      <c r="N6" s="19" t="s">
        <v>46</v>
      </c>
      <c r="O6" s="18" t="s">
        <v>28</v>
      </c>
      <c r="P6" s="47" t="s">
        <v>45</v>
      </c>
      <c r="Q6" s="54" t="s">
        <v>46</v>
      </c>
    </row>
    <row r="7" spans="2:17" x14ac:dyDescent="0.25">
      <c r="N7" s="19" t="s">
        <v>7</v>
      </c>
      <c r="O7" s="18" t="s">
        <v>11</v>
      </c>
      <c r="P7" s="47" t="s">
        <v>79</v>
      </c>
      <c r="Q7" s="54" t="s">
        <v>79</v>
      </c>
    </row>
    <row r="8" spans="2:17" x14ac:dyDescent="0.25">
      <c r="N8" s="19" t="s">
        <v>7</v>
      </c>
      <c r="O8" s="18" t="s">
        <v>6</v>
      </c>
      <c r="P8" s="47" t="s">
        <v>40</v>
      </c>
      <c r="Q8" s="54" t="s">
        <v>79</v>
      </c>
    </row>
    <row r="9" spans="2:17" x14ac:dyDescent="0.25">
      <c r="N9" s="19" t="s">
        <v>7</v>
      </c>
      <c r="O9" s="18" t="s">
        <v>6</v>
      </c>
      <c r="P9" s="47" t="s">
        <v>35</v>
      </c>
      <c r="Q9" s="54" t="s">
        <v>79</v>
      </c>
    </row>
    <row r="10" spans="2:17" x14ac:dyDescent="0.25">
      <c r="N10" s="19" t="s">
        <v>19</v>
      </c>
      <c r="O10" s="18" t="s">
        <v>28</v>
      </c>
      <c r="P10" s="47" t="s">
        <v>27</v>
      </c>
      <c r="Q10" s="54" t="s">
        <v>80</v>
      </c>
    </row>
    <row r="11" spans="2:17" x14ac:dyDescent="0.25">
      <c r="N11" s="19" t="s">
        <v>19</v>
      </c>
      <c r="O11" s="18" t="s">
        <v>6</v>
      </c>
      <c r="P11" s="47" t="s">
        <v>21</v>
      </c>
      <c r="Q11" s="54" t="s">
        <v>80</v>
      </c>
    </row>
    <row r="12" spans="2:17" x14ac:dyDescent="0.25">
      <c r="N12" s="19" t="s">
        <v>19</v>
      </c>
      <c r="O12" s="18" t="s">
        <v>6</v>
      </c>
      <c r="P12" s="47" t="s">
        <v>18</v>
      </c>
      <c r="Q12" s="54" t="s">
        <v>80</v>
      </c>
    </row>
    <row r="13" spans="2:17" x14ac:dyDescent="0.25">
      <c r="N13" s="19" t="s">
        <v>7</v>
      </c>
      <c r="O13" s="18" t="s">
        <v>11</v>
      </c>
      <c r="P13" s="47" t="s">
        <v>10</v>
      </c>
      <c r="Q13" s="54" t="s">
        <v>10</v>
      </c>
    </row>
    <row r="14" spans="2:17" ht="15.75" thickBot="1" x14ac:dyDescent="0.3">
      <c r="N14" s="10" t="s">
        <v>7</v>
      </c>
      <c r="O14" s="9" t="s">
        <v>6</v>
      </c>
      <c r="P14" s="48" t="s">
        <v>5</v>
      </c>
      <c r="Q14" s="55" t="s">
        <v>10</v>
      </c>
    </row>
  </sheetData>
  <dataValidations count="1">
    <dataValidation type="list" allowBlank="1" showInputMessage="1" showErrorMessage="1" sqref="O5:O14" xr:uid="{35703489-6256-4924-82A8-3ADA20F01DD2}">
      <formula1>"raw, primarily treated, cleaned"</formula1>
    </dataValidation>
  </dataValidations>
  <hyperlinks>
    <hyperlink ref="Q6" location="'E1'!A1" display="E1" xr:uid="{1A61DF62-859C-445F-B071-7AAB6562E27D}"/>
    <hyperlink ref="Q7" location="'E40-1A'!A1" display="E40-1A" xr:uid="{D399D286-F860-4FB6-9315-A5F9CD779A11}"/>
    <hyperlink ref="Q8:Q9" location="'E40-1A'!A1" display="E40-1A" xr:uid="{A6C9F474-FA17-4D9B-9948-3885BE798FAF}"/>
    <hyperlink ref="Q10" location="WEEE!A1" display="WEEE" xr:uid="{B28725BA-CE49-47F3-B8B4-85963A7DAA09}"/>
    <hyperlink ref="Q11:Q12" location="WEEE!A1" display="WEEE" xr:uid="{34CC4A6C-8B71-4AA2-A2A8-7A16DC95A725}"/>
    <hyperlink ref="Q13" location="'E40-1Y'!A1" display="E40-1Y" xr:uid="{EEE94086-A82E-40BC-8774-D30AA3C1254A}"/>
    <hyperlink ref="Q14" location="'E40-1Y'!A1" display="E40-1Y" xr:uid="{24EA2E05-C0D1-4660-9579-EE532A4CE61F}"/>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D7A7E-A5C0-4F62-B1E6-28BCC61BA665}">
  <dimension ref="A1"/>
  <sheetViews>
    <sheetView showGridLines="0" workbookViewId="0">
      <selection activeCell="E6" sqref="E6"/>
    </sheetView>
  </sheetViews>
  <sheetFormatPr baseColWidth="10"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49A0F-CB76-4313-A4EB-704A0418250A}">
  <dimension ref="A1"/>
  <sheetViews>
    <sheetView workbookViewId="0">
      <selection activeCell="A13" sqref="A13"/>
    </sheetView>
  </sheetViews>
  <sheetFormatPr baseColWidth="10"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0F0CE-26DF-4C65-9FE9-6E9651F5656B}">
  <dimension ref="A1"/>
  <sheetViews>
    <sheetView showGridLines="0" workbookViewId="0">
      <selection activeCell="U18" sqref="U18"/>
    </sheetView>
  </sheetViews>
  <sheetFormatPr baseColWidth="10"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A9B34-713C-45CE-A919-A7E064968F43}">
  <dimension ref="A1"/>
  <sheetViews>
    <sheetView showGridLines="0" workbookViewId="0">
      <selection activeCell="G27" sqref="G27"/>
    </sheetView>
  </sheetViews>
  <sheetFormatPr baseColWidth="10"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59F6E-7481-47B5-BD9E-79568BBD353B}">
  <dimension ref="B1:AA18"/>
  <sheetViews>
    <sheetView showGridLines="0" workbookViewId="0">
      <selection activeCell="AA25" sqref="AA25"/>
    </sheetView>
  </sheetViews>
  <sheetFormatPr baseColWidth="10" defaultRowHeight="15" x14ac:dyDescent="0.25"/>
  <cols>
    <col min="2" max="2" width="17.5703125" customWidth="1"/>
    <col min="3" max="3" width="21.28515625" customWidth="1"/>
    <col min="4" max="4" width="20.42578125" customWidth="1"/>
    <col min="5" max="25" width="14.7109375" customWidth="1"/>
    <col min="26" max="27" width="20.7109375" customWidth="1"/>
  </cols>
  <sheetData>
    <row r="1" spans="2:27" ht="15.75" thickBot="1" x14ac:dyDescent="0.3"/>
    <row r="2" spans="2:27" ht="15.75" thickBot="1" x14ac:dyDescent="0.3">
      <c r="B2" s="40"/>
      <c r="C2" s="40"/>
      <c r="D2" s="40"/>
      <c r="E2" s="40"/>
      <c r="F2" s="40"/>
      <c r="G2" s="40"/>
      <c r="H2" s="40"/>
      <c r="I2" s="40"/>
      <c r="J2" s="40"/>
      <c r="K2" s="40"/>
      <c r="L2" s="40"/>
      <c r="M2" s="40"/>
      <c r="N2" s="40"/>
      <c r="O2" s="40"/>
      <c r="P2" s="40"/>
      <c r="Q2" s="40"/>
      <c r="R2" s="40"/>
      <c r="S2" s="40"/>
      <c r="T2" s="40"/>
      <c r="U2" s="40"/>
      <c r="V2" s="40"/>
      <c r="W2" s="40"/>
      <c r="X2" s="40"/>
      <c r="Y2" s="40"/>
      <c r="Z2" s="90" t="s">
        <v>77</v>
      </c>
      <c r="AA2" s="91"/>
    </row>
    <row r="3" spans="2:27" s="31" customFormat="1" ht="20.100000000000001" customHeight="1" thickBot="1" x14ac:dyDescent="0.3">
      <c r="B3" s="39"/>
      <c r="C3" s="39"/>
      <c r="D3" s="39"/>
      <c r="E3" s="92" t="s">
        <v>88</v>
      </c>
      <c r="F3" s="93"/>
      <c r="G3" s="93"/>
      <c r="H3" s="93"/>
      <c r="I3" s="93"/>
      <c r="J3" s="93"/>
      <c r="K3" s="93"/>
      <c r="L3" s="93"/>
      <c r="M3" s="93"/>
      <c r="N3" s="93"/>
      <c r="O3" s="93"/>
      <c r="P3" s="93"/>
      <c r="Q3" s="93"/>
      <c r="R3" s="93"/>
      <c r="S3" s="93"/>
      <c r="T3" s="93"/>
      <c r="U3" s="93"/>
      <c r="V3" s="93"/>
      <c r="W3" s="93"/>
      <c r="X3" s="93"/>
      <c r="Y3" s="94"/>
      <c r="Z3" s="95" t="s">
        <v>76</v>
      </c>
      <c r="AA3" s="97" t="s">
        <v>110</v>
      </c>
    </row>
    <row r="4" spans="2:27" s="31" customFormat="1" ht="20.100000000000001" customHeight="1" thickBot="1" x14ac:dyDescent="0.3">
      <c r="B4" s="38" t="s">
        <v>75</v>
      </c>
      <c r="C4" s="37" t="s">
        <v>74</v>
      </c>
      <c r="D4" s="36" t="s">
        <v>73</v>
      </c>
      <c r="E4" s="35" t="s">
        <v>72</v>
      </c>
      <c r="F4" s="34" t="s">
        <v>71</v>
      </c>
      <c r="G4" s="34" t="s">
        <v>70</v>
      </c>
      <c r="H4" s="34" t="s">
        <v>69</v>
      </c>
      <c r="I4" s="34" t="s">
        <v>68</v>
      </c>
      <c r="J4" s="34" t="s">
        <v>67</v>
      </c>
      <c r="K4" s="34" t="s">
        <v>66</v>
      </c>
      <c r="L4" s="34" t="s">
        <v>65</v>
      </c>
      <c r="M4" s="34" t="s">
        <v>64</v>
      </c>
      <c r="N4" s="34" t="s">
        <v>63</v>
      </c>
      <c r="O4" s="34" t="s">
        <v>62</v>
      </c>
      <c r="P4" s="34" t="s">
        <v>61</v>
      </c>
      <c r="Q4" s="34" t="s">
        <v>60</v>
      </c>
      <c r="R4" s="34" t="s">
        <v>59</v>
      </c>
      <c r="S4" s="34" t="s">
        <v>58</v>
      </c>
      <c r="T4" s="34" t="s">
        <v>57</v>
      </c>
      <c r="U4" s="34" t="s">
        <v>56</v>
      </c>
      <c r="V4" s="34" t="s">
        <v>55</v>
      </c>
      <c r="W4" s="34" t="s">
        <v>54</v>
      </c>
      <c r="X4" s="33" t="s">
        <v>53</v>
      </c>
      <c r="Y4" s="32" t="s">
        <v>52</v>
      </c>
      <c r="Z4" s="96"/>
      <c r="AA4" s="98" t="s">
        <v>51</v>
      </c>
    </row>
    <row r="5" spans="2:27" x14ac:dyDescent="0.25">
      <c r="B5" s="30" t="s">
        <v>50</v>
      </c>
      <c r="C5" s="29" t="s">
        <v>28</v>
      </c>
      <c r="D5" s="28" t="s">
        <v>49</v>
      </c>
      <c r="E5" s="27">
        <v>1.4968999999999999</v>
      </c>
      <c r="F5" s="25">
        <v>0.85782800000000003</v>
      </c>
      <c r="G5" s="25">
        <v>0.61795500000000003</v>
      </c>
      <c r="H5" s="25">
        <v>0.29388700000000001</v>
      </c>
      <c r="I5" s="25">
        <v>5.8400099999999996E-2</v>
      </c>
      <c r="J5" s="25">
        <v>0.34532499999999999</v>
      </c>
      <c r="K5" s="26" t="s">
        <v>48</v>
      </c>
      <c r="L5" s="25">
        <v>0.40508899999999992</v>
      </c>
      <c r="M5" s="25">
        <v>0.20476800000000001</v>
      </c>
      <c r="N5" s="25">
        <v>4.1031100000000001E-2</v>
      </c>
      <c r="O5" s="25">
        <v>1.3020199999999999E-2</v>
      </c>
      <c r="P5" s="26" t="s">
        <v>30</v>
      </c>
      <c r="Q5" s="25">
        <v>3.5156E-2</v>
      </c>
      <c r="R5" s="25">
        <v>4.2327000000000007E-3</v>
      </c>
      <c r="S5" s="25">
        <v>9.6792000000000007E-3</v>
      </c>
      <c r="T5" s="26" t="s">
        <v>4</v>
      </c>
      <c r="U5" s="25">
        <v>1.4854099999999999E-3</v>
      </c>
      <c r="V5" s="26" t="s">
        <v>47</v>
      </c>
      <c r="W5" s="25">
        <v>1.85232E-2</v>
      </c>
      <c r="X5" s="24" t="s">
        <v>4</v>
      </c>
      <c r="Y5" s="23" t="s">
        <v>0</v>
      </c>
      <c r="Z5" s="22">
        <v>0.92160754155296443</v>
      </c>
      <c r="AA5" s="21">
        <v>1</v>
      </c>
    </row>
    <row r="6" spans="2:27" x14ac:dyDescent="0.25">
      <c r="B6" s="19" t="s">
        <v>46</v>
      </c>
      <c r="C6" s="18" t="s">
        <v>28</v>
      </c>
      <c r="D6" s="17" t="s">
        <v>45</v>
      </c>
      <c r="E6" s="20">
        <v>0.32511251920122897</v>
      </c>
      <c r="F6" s="14">
        <v>0.12101267281105993</v>
      </c>
      <c r="G6" s="14">
        <v>0.26862538402457758</v>
      </c>
      <c r="H6" s="14">
        <v>5.0933563748079884E-2</v>
      </c>
      <c r="I6" s="14">
        <v>3.1511712749615978E-2</v>
      </c>
      <c r="J6" s="14">
        <v>0.27510042242703536</v>
      </c>
      <c r="K6" s="15" t="s">
        <v>42</v>
      </c>
      <c r="L6" s="14">
        <v>0.13786040706605224</v>
      </c>
      <c r="M6" s="14">
        <v>0.19858928571428575</v>
      </c>
      <c r="N6" s="15" t="s">
        <v>32</v>
      </c>
      <c r="O6" s="15" t="s">
        <v>44</v>
      </c>
      <c r="P6" s="15" t="s">
        <v>44</v>
      </c>
      <c r="Q6" s="15" t="s">
        <v>42</v>
      </c>
      <c r="R6" s="15" t="s">
        <v>32</v>
      </c>
      <c r="S6" s="14">
        <v>1.018241167434716E-2</v>
      </c>
      <c r="T6" s="15" t="s">
        <v>4</v>
      </c>
      <c r="U6" s="15" t="s">
        <v>43</v>
      </c>
      <c r="V6" s="15" t="s">
        <v>42</v>
      </c>
      <c r="W6" s="15" t="s">
        <v>41</v>
      </c>
      <c r="X6" s="15" t="s">
        <v>4</v>
      </c>
      <c r="Y6" s="13" t="s">
        <v>0</v>
      </c>
      <c r="Z6" s="12">
        <v>0.90668202764976957</v>
      </c>
      <c r="AA6" s="11">
        <v>0.64770006724949569</v>
      </c>
    </row>
    <row r="7" spans="2:27" x14ac:dyDescent="0.25">
      <c r="B7" s="19" t="s">
        <v>7</v>
      </c>
      <c r="C7" s="18" t="s">
        <v>6</v>
      </c>
      <c r="D7" s="17" t="s">
        <v>40</v>
      </c>
      <c r="E7" s="20">
        <v>7.6333500540230872E-2</v>
      </c>
      <c r="F7" s="15" t="s">
        <v>39</v>
      </c>
      <c r="G7" s="15" t="s">
        <v>38</v>
      </c>
      <c r="H7" s="14">
        <v>2.7419654597586426E-2</v>
      </c>
      <c r="I7" s="14">
        <v>1.3902058484918111E-2</v>
      </c>
      <c r="J7" s="14">
        <v>3.2881391643474311E-2</v>
      </c>
      <c r="K7" s="15" t="s">
        <v>37</v>
      </c>
      <c r="L7" s="14">
        <v>7.3354916147088514E-2</v>
      </c>
      <c r="M7" s="14">
        <v>9.8580763862910328E-2</v>
      </c>
      <c r="N7" s="15" t="s">
        <v>30</v>
      </c>
      <c r="O7" s="15" t="s">
        <v>36</v>
      </c>
      <c r="P7" s="15" t="s">
        <v>36</v>
      </c>
      <c r="Q7" s="15" t="s">
        <v>37</v>
      </c>
      <c r="R7" s="15" t="s">
        <v>30</v>
      </c>
      <c r="S7" s="15" t="s">
        <v>36</v>
      </c>
      <c r="T7" s="15" t="s">
        <v>4</v>
      </c>
      <c r="U7" s="15" t="s">
        <v>4</v>
      </c>
      <c r="V7" s="15" t="s">
        <v>4</v>
      </c>
      <c r="W7" s="15" t="s">
        <v>4</v>
      </c>
      <c r="X7" s="15" t="s">
        <v>4</v>
      </c>
      <c r="Y7" s="13" t="s">
        <v>0</v>
      </c>
      <c r="Z7" s="12">
        <v>0.88086772629999088</v>
      </c>
      <c r="AA7" s="11">
        <v>0.95112045833635506</v>
      </c>
    </row>
    <row r="8" spans="2:27" x14ac:dyDescent="0.25">
      <c r="B8" s="19" t="s">
        <v>7</v>
      </c>
      <c r="C8" s="18" t="s">
        <v>6</v>
      </c>
      <c r="D8" s="17" t="s">
        <v>35</v>
      </c>
      <c r="E8" s="20">
        <v>7.2358858951555E-2</v>
      </c>
      <c r="F8" s="15" t="s">
        <v>34</v>
      </c>
      <c r="G8" s="15" t="s">
        <v>33</v>
      </c>
      <c r="H8" s="14">
        <v>2.4127014645541879E-2</v>
      </c>
      <c r="I8" s="14">
        <v>1.5304106592918552E-2</v>
      </c>
      <c r="J8" s="14">
        <v>3.3848812455984721E-2</v>
      </c>
      <c r="K8" s="15" t="s">
        <v>31</v>
      </c>
      <c r="L8" s="14">
        <v>3.8643156405994181E-2</v>
      </c>
      <c r="M8" s="14">
        <v>0.13020157614265768</v>
      </c>
      <c r="N8" s="15" t="s">
        <v>32</v>
      </c>
      <c r="O8" s="15" t="s">
        <v>13</v>
      </c>
      <c r="P8" s="15" t="s">
        <v>13</v>
      </c>
      <c r="Q8" s="15" t="s">
        <v>31</v>
      </c>
      <c r="R8" s="15" t="s">
        <v>30</v>
      </c>
      <c r="S8" s="15" t="s">
        <v>29</v>
      </c>
      <c r="T8" s="15" t="s">
        <v>4</v>
      </c>
      <c r="U8" s="15" t="s">
        <v>4</v>
      </c>
      <c r="V8" s="15" t="s">
        <v>4</v>
      </c>
      <c r="W8" s="15" t="s">
        <v>4</v>
      </c>
      <c r="X8" s="15" t="s">
        <v>4</v>
      </c>
      <c r="Y8" s="13" t="s">
        <v>0</v>
      </c>
      <c r="Z8" s="12">
        <v>0.89092643078482581</v>
      </c>
      <c r="AA8" s="11">
        <v>0.87838556795351608</v>
      </c>
    </row>
    <row r="9" spans="2:27" x14ac:dyDescent="0.25">
      <c r="B9" s="19" t="s">
        <v>19</v>
      </c>
      <c r="C9" s="18" t="s">
        <v>28</v>
      </c>
      <c r="D9" s="17" t="s">
        <v>27</v>
      </c>
      <c r="E9" s="16" t="s">
        <v>26</v>
      </c>
      <c r="F9" s="14">
        <v>0.7865267705291672</v>
      </c>
      <c r="G9" s="14">
        <v>0.43879012834640052</v>
      </c>
      <c r="H9" s="14">
        <v>3.7180587944457728E-2</v>
      </c>
      <c r="I9" s="14">
        <v>1.6527324573742733E-2</v>
      </c>
      <c r="J9" s="15" t="s">
        <v>25</v>
      </c>
      <c r="K9" s="15" t="s">
        <v>25</v>
      </c>
      <c r="L9" s="14">
        <v>6.1865512568730172E-2</v>
      </c>
      <c r="M9" s="14">
        <v>2.3527278897083352</v>
      </c>
      <c r="N9" s="15" t="s">
        <v>4</v>
      </c>
      <c r="O9" s="15" t="s">
        <v>24</v>
      </c>
      <c r="P9" s="15" t="s">
        <v>4</v>
      </c>
      <c r="Q9" s="15" t="s">
        <v>4</v>
      </c>
      <c r="R9" s="15" t="s">
        <v>13</v>
      </c>
      <c r="S9" s="15" t="s">
        <v>23</v>
      </c>
      <c r="T9" s="15" t="s">
        <v>22</v>
      </c>
      <c r="U9" s="15" t="s">
        <v>4</v>
      </c>
      <c r="V9" s="15" t="s">
        <v>4</v>
      </c>
      <c r="W9" s="15" t="s">
        <v>4</v>
      </c>
      <c r="X9" s="15" t="s">
        <v>4</v>
      </c>
      <c r="Y9" s="13" t="s">
        <v>0</v>
      </c>
      <c r="Z9" s="12">
        <v>0.94464103640616559</v>
      </c>
      <c r="AA9" s="11">
        <v>0.99316958878541783</v>
      </c>
    </row>
    <row r="10" spans="2:27" x14ac:dyDescent="0.25">
      <c r="B10" s="19" t="s">
        <v>19</v>
      </c>
      <c r="C10" s="18" t="s">
        <v>6</v>
      </c>
      <c r="D10" s="17" t="s">
        <v>21</v>
      </c>
      <c r="E10" s="20">
        <v>2.1410539358036162E-2</v>
      </c>
      <c r="F10" s="15" t="s">
        <v>20</v>
      </c>
      <c r="G10" s="15" t="s">
        <v>20</v>
      </c>
      <c r="H10" s="14">
        <v>6.268927866186548E-2</v>
      </c>
      <c r="I10" s="14">
        <v>2.2215046269407981E-2</v>
      </c>
      <c r="J10" s="14">
        <v>5.3795253029775038E-2</v>
      </c>
      <c r="K10" s="15" t="s">
        <v>20</v>
      </c>
      <c r="L10" s="14">
        <v>9.2371549153986127E-2</v>
      </c>
      <c r="M10" s="14">
        <v>0.22997328377279588</v>
      </c>
      <c r="N10" s="15" t="s">
        <v>4</v>
      </c>
      <c r="O10" s="15" t="s">
        <v>13</v>
      </c>
      <c r="P10" s="15" t="s">
        <v>4</v>
      </c>
      <c r="Q10" s="15" t="s">
        <v>4</v>
      </c>
      <c r="R10" s="15" t="s">
        <v>13</v>
      </c>
      <c r="S10" s="15" t="s">
        <v>13</v>
      </c>
      <c r="T10" s="15" t="s">
        <v>13</v>
      </c>
      <c r="U10" s="15" t="s">
        <v>4</v>
      </c>
      <c r="V10" s="15" t="s">
        <v>4</v>
      </c>
      <c r="W10" s="15" t="s">
        <v>4</v>
      </c>
      <c r="X10" s="15" t="s">
        <v>4</v>
      </c>
      <c r="Y10" s="13" t="s">
        <v>0</v>
      </c>
      <c r="Z10" s="12">
        <v>0.92228204925172208</v>
      </c>
      <c r="AA10" s="11">
        <v>0.99671090924516648</v>
      </c>
    </row>
    <row r="11" spans="2:27" x14ac:dyDescent="0.25">
      <c r="B11" s="19" t="s">
        <v>19</v>
      </c>
      <c r="C11" s="18" t="s">
        <v>6</v>
      </c>
      <c r="D11" s="17" t="s">
        <v>18</v>
      </c>
      <c r="E11" s="16" t="s">
        <v>17</v>
      </c>
      <c r="F11" s="15" t="s">
        <v>16</v>
      </c>
      <c r="G11" s="15" t="s">
        <v>15</v>
      </c>
      <c r="H11" s="14">
        <v>7.3596234188791104E-2</v>
      </c>
      <c r="I11" s="14">
        <v>4.3457403592537684E-2</v>
      </c>
      <c r="J11" s="14">
        <v>3.8516701642247929E-2</v>
      </c>
      <c r="K11" s="15" t="s">
        <v>14</v>
      </c>
      <c r="L11" s="14">
        <v>5.6991028282089295E-2</v>
      </c>
      <c r="M11" s="14">
        <v>0.20275614639687337</v>
      </c>
      <c r="N11" s="15" t="s">
        <v>4</v>
      </c>
      <c r="O11" s="15" t="s">
        <v>13</v>
      </c>
      <c r="P11" s="15" t="s">
        <v>4</v>
      </c>
      <c r="Q11" s="15" t="s">
        <v>4</v>
      </c>
      <c r="R11" s="15" t="s">
        <v>13</v>
      </c>
      <c r="S11" s="15" t="s">
        <v>13</v>
      </c>
      <c r="T11" s="15" t="s">
        <v>12</v>
      </c>
      <c r="U11" s="15" t="s">
        <v>4</v>
      </c>
      <c r="V11" s="15" t="s">
        <v>4</v>
      </c>
      <c r="W11" s="15" t="s">
        <v>4</v>
      </c>
      <c r="X11" s="15" t="s">
        <v>4</v>
      </c>
      <c r="Y11" s="13" t="s">
        <v>0</v>
      </c>
      <c r="Z11" s="12">
        <v>0.9277886497064578</v>
      </c>
      <c r="AA11" s="11">
        <v>0.99970652110113278</v>
      </c>
    </row>
    <row r="12" spans="2:27" x14ac:dyDescent="0.25">
      <c r="B12" s="19" t="s">
        <v>7</v>
      </c>
      <c r="C12" s="18" t="s">
        <v>11</v>
      </c>
      <c r="D12" s="17" t="s">
        <v>10</v>
      </c>
      <c r="E12" s="16" t="s">
        <v>4</v>
      </c>
      <c r="F12" s="15" t="s">
        <v>9</v>
      </c>
      <c r="G12" s="15" t="s">
        <v>9</v>
      </c>
      <c r="H12" s="14">
        <v>1.8807353809047283E-2</v>
      </c>
      <c r="I12" s="14">
        <v>1.01333743873964E-2</v>
      </c>
      <c r="J12" s="15" t="s">
        <v>9</v>
      </c>
      <c r="K12" s="15" t="s">
        <v>8</v>
      </c>
      <c r="L12" s="14">
        <v>8.3100813383624544E-2</v>
      </c>
      <c r="M12" s="14">
        <v>8.8275241834090232E-2</v>
      </c>
      <c r="N12" s="15" t="s">
        <v>1</v>
      </c>
      <c r="O12" s="15" t="s">
        <v>1</v>
      </c>
      <c r="P12" s="15" t="s">
        <v>1</v>
      </c>
      <c r="Q12" s="15" t="s">
        <v>1</v>
      </c>
      <c r="R12" s="15" t="s">
        <v>2</v>
      </c>
      <c r="S12" s="15" t="s">
        <v>1</v>
      </c>
      <c r="T12" s="15" t="s">
        <v>1</v>
      </c>
      <c r="U12" s="15" t="s">
        <v>2</v>
      </c>
      <c r="V12" s="14">
        <v>7.9601262412439359E-3</v>
      </c>
      <c r="W12" s="14">
        <v>6.0067379981012482E-3</v>
      </c>
      <c r="X12" s="14">
        <v>1.9546557873399525E-2</v>
      </c>
      <c r="Y12" s="13" t="s">
        <v>0</v>
      </c>
      <c r="Z12" s="12">
        <v>0.89780104174685027</v>
      </c>
      <c r="AA12" s="11">
        <v>0.73568714580113337</v>
      </c>
    </row>
    <row r="13" spans="2:27" ht="15.75" thickBot="1" x14ac:dyDescent="0.3">
      <c r="B13" s="10" t="s">
        <v>7</v>
      </c>
      <c r="C13" s="9" t="s">
        <v>6</v>
      </c>
      <c r="D13" s="8" t="s">
        <v>5</v>
      </c>
      <c r="E13" s="7" t="s">
        <v>4</v>
      </c>
      <c r="F13" s="5" t="s">
        <v>3</v>
      </c>
      <c r="G13" s="5" t="s">
        <v>3</v>
      </c>
      <c r="H13" s="6">
        <v>1.9280324132821373E-2</v>
      </c>
      <c r="I13" s="6">
        <v>2.0763425989192247E-2</v>
      </c>
      <c r="J13" s="5" t="s">
        <v>3</v>
      </c>
      <c r="K13" s="5" t="s">
        <v>3</v>
      </c>
      <c r="L13" s="6">
        <v>7.777250971478844E-2</v>
      </c>
      <c r="M13" s="6">
        <v>0.12754675964789522</v>
      </c>
      <c r="N13" s="6">
        <v>1.3238729991929757E-2</v>
      </c>
      <c r="O13" s="5" t="s">
        <v>1</v>
      </c>
      <c r="P13" s="5" t="s">
        <v>1</v>
      </c>
      <c r="Q13" s="5" t="s">
        <v>1</v>
      </c>
      <c r="R13" s="5" t="s">
        <v>2</v>
      </c>
      <c r="S13" s="6">
        <v>1.2516028034469962E-2</v>
      </c>
      <c r="T13" s="5" t="s">
        <v>1</v>
      </c>
      <c r="U13" s="5" t="s">
        <v>2</v>
      </c>
      <c r="V13" s="6">
        <v>7.4155092818543739E-3</v>
      </c>
      <c r="W13" s="6">
        <v>7.8894260592429419E-3</v>
      </c>
      <c r="X13" s="5" t="s">
        <v>1</v>
      </c>
      <c r="Y13" s="4" t="s">
        <v>0</v>
      </c>
      <c r="Z13" s="3">
        <v>0.91766683377075275</v>
      </c>
      <c r="AA13" s="2">
        <v>0.98870000000000002</v>
      </c>
    </row>
    <row r="16" spans="2:27" x14ac:dyDescent="0.25">
      <c r="D16" s="44" t="s">
        <v>81</v>
      </c>
      <c r="E16" s="45"/>
      <c r="AA16" s="1"/>
    </row>
    <row r="17" spans="3:27" x14ac:dyDescent="0.25">
      <c r="C17" s="42"/>
      <c r="D17" s="43" t="s">
        <v>82</v>
      </c>
      <c r="E17" s="43" t="s">
        <v>83</v>
      </c>
      <c r="AA17" s="1"/>
    </row>
    <row r="18" spans="3:27" x14ac:dyDescent="0.25">
      <c r="C18" s="42"/>
    </row>
  </sheetData>
  <mergeCells count="4">
    <mergeCell ref="Z2:AA2"/>
    <mergeCell ref="E3:Y3"/>
    <mergeCell ref="Z3:Z4"/>
    <mergeCell ref="AA3:AA4"/>
  </mergeCells>
  <dataValidations count="1">
    <dataValidation type="list" allowBlank="1" showInputMessage="1" showErrorMessage="1" sqref="C5:C13" xr:uid="{E63AE967-AC7F-4292-B7F1-94A1188EADF6}">
      <formula1>"raw, primarily treated, cleaned"</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D1400-A661-48A1-96D7-4A9D9FA622CF}">
  <dimension ref="B1:P22"/>
  <sheetViews>
    <sheetView workbookViewId="0">
      <selection activeCell="J29" sqref="J29"/>
    </sheetView>
  </sheetViews>
  <sheetFormatPr baseColWidth="10" defaultRowHeight="15" x14ac:dyDescent="0.25"/>
  <cols>
    <col min="5" max="5" width="12.140625" customWidth="1"/>
    <col min="6" max="9" width="12.7109375" customWidth="1"/>
    <col min="15" max="16" width="12.7109375" customWidth="1"/>
  </cols>
  <sheetData>
    <row r="1" spans="5:16" ht="15.75" x14ac:dyDescent="0.25">
      <c r="F1" s="86" t="s">
        <v>125</v>
      </c>
    </row>
    <row r="2" spans="5:16" ht="15.75" thickBot="1" x14ac:dyDescent="0.3"/>
    <row r="3" spans="5:16" ht="30" customHeight="1" thickBot="1" x14ac:dyDescent="0.3">
      <c r="F3" s="113" t="s">
        <v>109</v>
      </c>
      <c r="G3" s="114"/>
      <c r="H3" s="114"/>
      <c r="I3" s="115"/>
      <c r="N3" s="105" t="s">
        <v>109</v>
      </c>
      <c r="O3" s="106"/>
      <c r="P3" s="107"/>
    </row>
    <row r="4" spans="5:16" x14ac:dyDescent="0.25">
      <c r="E4" s="103" t="s">
        <v>120</v>
      </c>
      <c r="F4" s="110" t="s">
        <v>114</v>
      </c>
      <c r="G4" s="111"/>
      <c r="H4" s="111"/>
      <c r="I4" s="112"/>
      <c r="N4" s="60"/>
      <c r="O4" s="108" t="s">
        <v>115</v>
      </c>
      <c r="P4" s="109"/>
    </row>
    <row r="5" spans="5:16" ht="15.75" thickBot="1" x14ac:dyDescent="0.3">
      <c r="E5" s="104"/>
      <c r="F5" s="62" t="s">
        <v>121</v>
      </c>
      <c r="G5" s="87" t="s">
        <v>122</v>
      </c>
      <c r="H5" s="87" t="s">
        <v>123</v>
      </c>
      <c r="I5" s="88" t="s">
        <v>124</v>
      </c>
      <c r="N5" s="64" t="s">
        <v>120</v>
      </c>
      <c r="O5" s="67" t="s">
        <v>116</v>
      </c>
      <c r="P5" s="65" t="s">
        <v>117</v>
      </c>
    </row>
    <row r="6" spans="5:16" x14ac:dyDescent="0.25">
      <c r="E6" s="89" t="s">
        <v>89</v>
      </c>
      <c r="F6" s="75">
        <v>2.8935294117647059</v>
      </c>
      <c r="G6" s="77">
        <v>9.4248073176928937</v>
      </c>
      <c r="H6" s="77">
        <v>6.7668389662027835</v>
      </c>
      <c r="I6" s="73">
        <v>7.88</v>
      </c>
      <c r="J6" s="41"/>
      <c r="K6" s="41"/>
      <c r="N6" s="62" t="s">
        <v>89</v>
      </c>
      <c r="O6" s="68" t="s">
        <v>118</v>
      </c>
      <c r="P6" s="63" t="s">
        <v>30</v>
      </c>
    </row>
    <row r="7" spans="5:16" x14ac:dyDescent="0.25">
      <c r="E7" s="62" t="s">
        <v>90</v>
      </c>
      <c r="F7" s="76">
        <v>0.26491978609625666</v>
      </c>
      <c r="G7" s="78">
        <v>0.63969170830863042</v>
      </c>
      <c r="H7" s="78">
        <v>0.63102054340622926</v>
      </c>
      <c r="I7" s="63">
        <v>1.32</v>
      </c>
      <c r="J7" s="41"/>
      <c r="K7" s="41"/>
      <c r="N7" s="62" t="s">
        <v>90</v>
      </c>
      <c r="O7" s="68">
        <v>6.2E-2</v>
      </c>
      <c r="P7" s="63" t="s">
        <v>30</v>
      </c>
    </row>
    <row r="8" spans="5:16" x14ac:dyDescent="0.25">
      <c r="E8" s="62" t="s">
        <v>91</v>
      </c>
      <c r="F8" s="76">
        <v>9.1401069518716571E-2</v>
      </c>
      <c r="G8" s="78">
        <v>1.8909248750741086</v>
      </c>
      <c r="H8" s="78">
        <v>1.7720410868124585</v>
      </c>
      <c r="I8" s="63">
        <v>12.7</v>
      </c>
      <c r="J8" s="41"/>
      <c r="K8" s="41"/>
      <c r="N8" s="62" t="s">
        <v>94</v>
      </c>
      <c r="O8" s="68" t="s">
        <v>118</v>
      </c>
      <c r="P8" s="63" t="s">
        <v>30</v>
      </c>
    </row>
    <row r="9" spans="5:16" x14ac:dyDescent="0.25">
      <c r="E9" s="62" t="s">
        <v>92</v>
      </c>
      <c r="F9" s="76">
        <v>0.12989304812834224</v>
      </c>
      <c r="G9" s="78">
        <v>0.19480731769289406</v>
      </c>
      <c r="H9" s="78">
        <v>0.17017009056770488</v>
      </c>
      <c r="I9" s="63">
        <v>0.28999999999999998</v>
      </c>
      <c r="J9" s="41"/>
      <c r="K9" s="41"/>
      <c r="N9" s="62" t="s">
        <v>96</v>
      </c>
      <c r="O9" s="68">
        <v>8.6999999999999994E-3</v>
      </c>
      <c r="P9" s="63" t="s">
        <v>30</v>
      </c>
    </row>
    <row r="10" spans="5:16" x14ac:dyDescent="0.25">
      <c r="E10" s="62" t="s">
        <v>93</v>
      </c>
      <c r="F10" s="76">
        <v>0.58470588235294119</v>
      </c>
      <c r="G10" s="78">
        <v>0.40023121876852713</v>
      </c>
      <c r="H10" s="78">
        <v>0.52185332449745969</v>
      </c>
      <c r="I10" s="63">
        <v>0.37</v>
      </c>
      <c r="J10" s="41"/>
      <c r="K10" s="41"/>
      <c r="N10" s="62" t="s">
        <v>97</v>
      </c>
      <c r="O10" s="68">
        <v>1.2999999999999999E-2</v>
      </c>
      <c r="P10" s="63">
        <v>0.28000000000000003</v>
      </c>
    </row>
    <row r="11" spans="5:16" x14ac:dyDescent="0.25">
      <c r="E11" s="62" t="s">
        <v>94</v>
      </c>
      <c r="F11" s="61" t="s">
        <v>3</v>
      </c>
      <c r="G11" s="78">
        <v>4.938053696959431E-2</v>
      </c>
      <c r="H11" s="68" t="s">
        <v>95</v>
      </c>
      <c r="I11" s="63">
        <v>0.26</v>
      </c>
      <c r="J11" s="41"/>
      <c r="K11" s="41"/>
      <c r="N11" s="62" t="s">
        <v>99</v>
      </c>
      <c r="O11" s="68">
        <v>3.6999999999999998E-2</v>
      </c>
      <c r="P11" s="63">
        <v>8.0000000000000002E-3</v>
      </c>
    </row>
    <row r="12" spans="5:16" x14ac:dyDescent="0.25">
      <c r="E12" s="62" t="s">
        <v>96</v>
      </c>
      <c r="F12" s="61" t="s">
        <v>3</v>
      </c>
      <c r="G12" s="78">
        <v>0.25496146353857885</v>
      </c>
      <c r="H12" s="78">
        <v>5.77126132096311E-2</v>
      </c>
      <c r="I12" s="63">
        <v>0.33</v>
      </c>
      <c r="J12" s="41"/>
      <c r="K12" s="41"/>
      <c r="N12" s="62" t="s">
        <v>102</v>
      </c>
      <c r="O12" s="68">
        <v>8.9999999999999993E-3</v>
      </c>
      <c r="P12" s="63">
        <v>3.1E-2</v>
      </c>
    </row>
    <row r="13" spans="5:16" x14ac:dyDescent="0.25">
      <c r="E13" s="62" t="s">
        <v>97</v>
      </c>
      <c r="F13" s="61" t="s">
        <v>113</v>
      </c>
      <c r="G13" s="78">
        <v>0.67619463030405691</v>
      </c>
      <c r="H13" s="78">
        <v>0.70034018113540975</v>
      </c>
      <c r="I13" s="63">
        <v>4.3099999999999996</v>
      </c>
      <c r="J13" s="41"/>
      <c r="K13" s="41"/>
      <c r="N13" s="62" t="s">
        <v>104</v>
      </c>
      <c r="O13" s="68">
        <v>7.9000000000000008E-3</v>
      </c>
      <c r="P13" s="63" t="s">
        <v>2</v>
      </c>
    </row>
    <row r="14" spans="5:16" x14ac:dyDescent="0.25">
      <c r="E14" s="62" t="s">
        <v>98</v>
      </c>
      <c r="F14" s="76">
        <v>3.5481283422459889E-2</v>
      </c>
      <c r="G14" s="78">
        <v>4.6503853646142124E-2</v>
      </c>
      <c r="H14" s="78">
        <v>4.345747735807378E-2</v>
      </c>
      <c r="I14" s="63">
        <v>4.8000000000000001E-2</v>
      </c>
      <c r="J14" s="41"/>
      <c r="K14" s="41"/>
      <c r="N14" s="62" t="s">
        <v>105</v>
      </c>
      <c r="O14" s="68" t="s">
        <v>119</v>
      </c>
      <c r="P14" s="63" t="s">
        <v>2</v>
      </c>
    </row>
    <row r="15" spans="5:16" x14ac:dyDescent="0.25">
      <c r="E15" s="62" t="s">
        <v>99</v>
      </c>
      <c r="F15" s="76">
        <v>3.5481283422459889E-2</v>
      </c>
      <c r="G15" s="78">
        <v>1.5503853646142119E-2</v>
      </c>
      <c r="H15" s="78">
        <v>1.8508504528385244E-2</v>
      </c>
      <c r="I15" s="63">
        <v>9.8000000000000004E-2</v>
      </c>
      <c r="J15" s="41"/>
      <c r="K15" s="41"/>
      <c r="N15" s="62" t="s">
        <v>106</v>
      </c>
      <c r="O15" s="68" t="s">
        <v>119</v>
      </c>
      <c r="P15" s="63" t="s">
        <v>2</v>
      </c>
    </row>
    <row r="16" spans="5:16" x14ac:dyDescent="0.25">
      <c r="E16" s="62" t="s">
        <v>100</v>
      </c>
      <c r="F16" s="61" t="s">
        <v>101</v>
      </c>
      <c r="G16" s="68" t="s">
        <v>44</v>
      </c>
      <c r="H16" s="68" t="s">
        <v>101</v>
      </c>
      <c r="I16" s="63"/>
      <c r="J16" s="41"/>
      <c r="K16" s="41"/>
      <c r="N16" s="62" t="s">
        <v>107</v>
      </c>
      <c r="O16" s="68" t="s">
        <v>119</v>
      </c>
      <c r="P16" s="63" t="s">
        <v>2</v>
      </c>
    </row>
    <row r="17" spans="2:16" x14ac:dyDescent="0.25">
      <c r="E17" s="62" t="s">
        <v>102</v>
      </c>
      <c r="F17" s="61" t="s">
        <v>44</v>
      </c>
      <c r="G17" s="78">
        <v>7.3023121876852712E-2</v>
      </c>
      <c r="H17" s="78">
        <v>7.0051027170311461E-2</v>
      </c>
      <c r="I17" s="63">
        <v>0.19</v>
      </c>
      <c r="J17" s="41"/>
      <c r="K17" s="41"/>
      <c r="N17" s="62" t="s">
        <v>103</v>
      </c>
      <c r="O17" s="68">
        <v>1.7000000000000001E-2</v>
      </c>
      <c r="P17" s="63">
        <v>1.7000000000000001E-2</v>
      </c>
    </row>
    <row r="18" spans="2:16" ht="15.75" thickBot="1" x14ac:dyDescent="0.3">
      <c r="E18" s="66" t="s">
        <v>103</v>
      </c>
      <c r="F18" s="64" t="s">
        <v>0</v>
      </c>
      <c r="G18" s="79" t="s">
        <v>0</v>
      </c>
      <c r="H18" s="79" t="s">
        <v>0</v>
      </c>
      <c r="I18" s="74" t="s">
        <v>0</v>
      </c>
      <c r="J18" s="41"/>
      <c r="K18" s="41"/>
      <c r="N18" s="62" t="s">
        <v>108</v>
      </c>
      <c r="O18" s="68" t="s">
        <v>30</v>
      </c>
      <c r="P18" s="63" t="s">
        <v>30</v>
      </c>
    </row>
    <row r="19" spans="2:16" ht="15.75" thickBot="1" x14ac:dyDescent="0.3">
      <c r="N19" s="66" t="s">
        <v>91</v>
      </c>
      <c r="O19" s="69">
        <v>99.8</v>
      </c>
      <c r="P19" s="70">
        <v>99.9</v>
      </c>
    </row>
    <row r="20" spans="2:16" ht="7.5" customHeight="1" thickBot="1" x14ac:dyDescent="0.3"/>
    <row r="21" spans="2:16" x14ac:dyDescent="0.25">
      <c r="B21" s="99" t="s">
        <v>111</v>
      </c>
      <c r="C21" s="100"/>
      <c r="D21" s="100"/>
      <c r="E21" s="100"/>
      <c r="F21" s="82">
        <v>5.8000000000000003E-2</v>
      </c>
      <c r="G21" s="82">
        <v>0.06</v>
      </c>
      <c r="H21" s="82">
        <v>2.896E-2</v>
      </c>
      <c r="I21" s="83">
        <v>0</v>
      </c>
      <c r="J21" s="57"/>
      <c r="K21" s="99" t="s">
        <v>111</v>
      </c>
      <c r="L21" s="100"/>
      <c r="M21" s="100"/>
      <c r="N21" s="100"/>
      <c r="O21" s="80">
        <v>1.9400000000000001E-2</v>
      </c>
      <c r="P21" s="71">
        <v>0</v>
      </c>
    </row>
    <row r="22" spans="2:16" ht="15.75" thickBot="1" x14ac:dyDescent="0.3">
      <c r="B22" s="101" t="s">
        <v>112</v>
      </c>
      <c r="C22" s="102"/>
      <c r="D22" s="102"/>
      <c r="E22" s="102"/>
      <c r="F22" s="84">
        <f>100%-F21</f>
        <v>0.94199999999999995</v>
      </c>
      <c r="G22" s="84">
        <f t="shared" ref="G22:P22" si="0">100%-G21</f>
        <v>0.94</v>
      </c>
      <c r="H22" s="84">
        <f t="shared" si="0"/>
        <v>0.97104000000000001</v>
      </c>
      <c r="I22" s="85">
        <f t="shared" si="0"/>
        <v>1</v>
      </c>
      <c r="J22" s="57"/>
      <c r="K22" s="101" t="s">
        <v>112</v>
      </c>
      <c r="L22" s="102"/>
      <c r="M22" s="102"/>
      <c r="N22" s="102"/>
      <c r="O22" s="81">
        <f t="shared" si="0"/>
        <v>0.98060000000000003</v>
      </c>
      <c r="P22" s="72">
        <f t="shared" si="0"/>
        <v>1</v>
      </c>
    </row>
  </sheetData>
  <mergeCells count="9">
    <mergeCell ref="B21:E21"/>
    <mergeCell ref="B22:E22"/>
    <mergeCell ref="E4:E5"/>
    <mergeCell ref="N3:P3"/>
    <mergeCell ref="O4:P4"/>
    <mergeCell ref="K21:N21"/>
    <mergeCell ref="K22:N22"/>
    <mergeCell ref="F4:I4"/>
    <mergeCell ref="F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Experimental Methods info</vt:lpstr>
      <vt:lpstr>FE Scrap - Material composition</vt:lpstr>
      <vt:lpstr>E1</vt:lpstr>
      <vt:lpstr>E40-1A</vt:lpstr>
      <vt:lpstr>E40-1Y</vt:lpstr>
      <vt:lpstr>WEEE</vt:lpstr>
      <vt:lpstr>Tapped metal - chem. analysis</vt:lpstr>
      <vt:lpstr>recov. NF metals -chem.analysis</vt:lpstr>
    </vt:vector>
  </TitlesOfParts>
  <Company>AZTERLAN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Characterization of recovered metallic fractions from steel scrap samples</dc:title>
  <dc:subject>WP3 - Task 3.3, WP5 - Task 5.3, chemical characterisation</dc:subject>
  <dc:creator>Clara Delgado</dc:creator>
  <cp:keywords>CAESAR project</cp:keywords>
  <cp:lastModifiedBy>Clara Delgado</cp:lastModifiedBy>
  <dcterms:created xsi:type="dcterms:W3CDTF">2025-06-24T09:07:37Z</dcterms:created>
  <dcterms:modified xsi:type="dcterms:W3CDTF">2025-06-25T10:05:37Z</dcterms:modified>
  <cp:category/>
</cp:coreProperties>
</file>